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_A-D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Artifacts" sheetId="3" state="visible" r:id="rId3"/>
    <sheet xmlns:r="http://schemas.openxmlformats.org/officeDocument/2006/relationships" name="Acceptance_Criteria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Tests" sheetId="6" state="visible" r:id="rId6"/>
    <sheet xmlns:r="http://schemas.openxmlformats.org/officeDocument/2006/relationships" name="Measurement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Counts by Test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T-001 Coherence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'Trends'!$A$5:$A$10000</f>
            </numRef>
          </cat>
          <val>
            <numRef>
              <f>'Trends'!$B$5:$B$10000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Coherence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T-002 Ripple vs 70% Threshold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'Trends'!$A$23:$A$10000</f>
            </numRef>
          </cat>
          <val>
            <numRef>
              <f>'Trends'!$B$23:$B$10000</f>
            </numRef>
          </val>
        </ser>
        <ser>
          <idx val="1"/>
          <order val="1"/>
          <tx>
            <strRef>
              <f>'Trends'!D22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'Trends'!$A$23:$A$10000</f>
            </numRef>
          </cat>
          <val>
            <numRef>
              <f>'Trends'!$D$23:$D$10000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Ripple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T-003 ELC Drift (Hz)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'Trends'!$A$40:$A$10000</f>
            </numRef>
          </cat>
          <val>
            <numRef>
              <f>'Trends'!$B$40:$B$10000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T-004 Power (kW) with 10–12 Band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'Trends'!$B$58:$B$10000</f>
            </numRef>
          </val>
        </ser>
        <ser>
          <idx val="1"/>
          <order val="1"/>
          <tx>
            <strRef>
              <f>'Trends'!C57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'Trends'!$C$58:$C$10000</f>
            </numRef>
          </val>
        </ser>
        <ser>
          <idx val="2"/>
          <order val="2"/>
          <tx>
            <strRef>
              <f>'Trends'!D57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'Trends'!$D$58:$D$10000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86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55</row>
      <rowOff>0</rowOff>
    </from>
    <ext cx="864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easurements" displayName="tblMeasurements" ref="A1:J101" headerRowCount="1">
  <autoFilter ref="A1:J101"/>
  <tableColumns count="10">
    <tableColumn id="1" name="Timestamp"/>
    <tableColumn id="2" name="Test_ID"/>
    <tableColumn id="3" name="Sensor"/>
    <tableColumn id="4" name="Value"/>
    <tableColumn id="5" name="Unit"/>
    <tableColumn id="6" name="Baseline_Value"/>
    <tableColumn id="7" name="Conditions"/>
    <tableColumn id="8" name="Notes"/>
    <tableColumn id="9" name="Pass"/>
    <tableColumn id="10" name="Rule_Ev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</row>
    <row r="2">
      <c r="A2" t="inlineStr">
        <is>
          <t>Jet coherence ≥ 0.90</t>
        </is>
      </c>
    </row>
    <row r="3">
      <c r="A3" t="inlineStr">
        <is>
          <t>Ripple amplitude −30–50% vs straight inlet; no entrainment increase</t>
        </is>
      </c>
    </row>
    <row r="4">
      <c r="A4" t="inlineStr">
        <is>
          <t>ELC drift ≤ 0.1 Hz; no hunting</t>
        </is>
      </c>
    </row>
    <row r="5">
      <c r="A5" t="inlineStr">
        <is>
          <t>Power between 10 and 12 kW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Objective</t>
        </is>
      </c>
      <c r="D1" s="1" t="inlineStr">
        <is>
          <t>Setup</t>
        </is>
      </c>
      <c r="E1" s="1" t="inlineStr">
        <is>
          <t>Parameters</t>
        </is>
      </c>
      <c r="F1" s="1" t="inlineStr">
        <is>
          <t>Instruments</t>
        </is>
      </c>
      <c r="G1" s="1" t="inlineStr">
        <is>
          <t>Acceptance_Criteria</t>
        </is>
      </c>
      <c r="H1" s="1" t="inlineStr">
        <is>
          <t>Status</t>
        </is>
      </c>
      <c r="I1" s="1" t="inlineStr">
        <is>
          <t>Stage</t>
        </is>
      </c>
      <c r="J1" s="1" t="inlineStr">
        <is>
          <t>Linked_Artifacts</t>
        </is>
      </c>
    </row>
    <row r="2">
      <c r="A2" t="inlineStr">
        <is>
          <t>T-001</t>
        </is>
      </c>
      <c r="B2" t="inlineStr">
        <is>
          <t>Jet_Coherence_Test</t>
        </is>
      </c>
      <c r="C2" t="inlineStr">
        <is>
          <t>Assess jet coherence; ensure coherent jet meets threshold.</t>
        </is>
      </c>
      <c r="D2" t="inlineStr">
        <is>
          <t>Bench Test Pack; imaging config</t>
        </is>
      </c>
      <c r="F2" t="inlineStr">
        <is>
          <t>Imaging setup (per imaging config).</t>
        </is>
      </c>
      <c r="G2" t="inlineStr">
        <is>
          <t>Jet coherence ≥ 0.90</t>
        </is>
      </c>
      <c r="H2" t="inlineStr">
        <is>
          <t>Defined</t>
        </is>
      </c>
      <c r="I2" t="inlineStr">
        <is>
          <t>B</t>
        </is>
      </c>
      <c r="J2" t="inlineStr">
        <is>
          <t>Procedure; Datasheet; Imaging config</t>
        </is>
      </c>
    </row>
    <row r="3">
      <c r="A3" t="inlineStr">
        <is>
          <t>T-002</t>
        </is>
      </c>
      <c r="B3" t="inlineStr">
        <is>
          <t>Tank_Ripple_Test</t>
        </is>
      </c>
      <c r="C3" t="inlineStr">
        <is>
          <t>Measure tank ripple amplitude reduction vs straight inlet; verify no entrainment increase.</t>
        </is>
      </c>
      <c r="D3" t="inlineStr">
        <is>
          <t>Bench Test Pack; PT mounting sketch</t>
        </is>
      </c>
      <c r="F3" t="inlineStr">
        <is>
          <t>Pressure transducer (PT).</t>
        </is>
      </c>
      <c r="G3" t="inlineStr">
        <is>
          <t>Ripple amplitude −30–50% vs straight inlet; no entrainment increase</t>
        </is>
      </c>
      <c r="H3" t="inlineStr">
        <is>
          <t>Defined</t>
        </is>
      </c>
      <c r="I3" t="inlineStr">
        <is>
          <t>B</t>
        </is>
      </c>
      <c r="J3" t="inlineStr">
        <is>
          <t>Procedure; Datasheet; PT mounting sketch</t>
        </is>
      </c>
    </row>
    <row r="4">
      <c r="A4" t="inlineStr">
        <is>
          <t>T-003</t>
        </is>
      </c>
      <c r="B4" t="inlineStr">
        <is>
          <t>Electrical_Stability</t>
        </is>
      </c>
      <c r="C4" t="inlineStr">
        <is>
          <t>Verify ELC drift ≤ 0.1 Hz with no hunting</t>
        </is>
      </c>
      <c r="D4" t="inlineStr">
        <is>
          <t>Generator + ELC narrow window; nominal load</t>
        </is>
      </c>
      <c r="F4" t="inlineStr">
        <is>
          <t>ELC + scope/logger</t>
        </is>
      </c>
      <c r="G4" t="inlineStr">
        <is>
          <t>ELC drift ≤ 0.1 Hz; no hunting</t>
        </is>
      </c>
      <c r="H4" t="inlineStr">
        <is>
          <t>Defined</t>
        </is>
      </c>
      <c r="I4" t="inlineStr">
        <is>
          <t>C</t>
        </is>
      </c>
      <c r="J4" t="inlineStr">
        <is>
          <t>Procedure; Logger config</t>
        </is>
      </c>
    </row>
    <row r="5">
      <c r="A5" t="inlineStr">
        <is>
          <t>T-004</t>
        </is>
      </c>
      <c r="B5" t="inlineStr">
        <is>
          <t>Power_Output</t>
        </is>
      </c>
      <c r="C5" t="inlineStr">
        <is>
          <t>Confirm net electrical power within 10–12 kW at operating head</t>
        </is>
      </c>
      <c r="D5" t="inlineStr">
        <is>
          <t>Turbine+generator; calibrated meters</t>
        </is>
      </c>
      <c r="F5" t="inlineStr">
        <is>
          <t>Wattmeter + V/I sensors</t>
        </is>
      </c>
      <c r="G5" t="inlineStr">
        <is>
          <t>Power between 10 and 12 kW</t>
        </is>
      </c>
      <c r="H5" t="inlineStr">
        <is>
          <t>Defined</t>
        </is>
      </c>
      <c r="I5" t="inlineStr">
        <is>
          <t>C</t>
        </is>
      </c>
      <c r="J5" t="inlineStr">
        <is>
          <t>Procedure; Datasheet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Timestamp</t>
        </is>
      </c>
      <c r="B1" s="2" t="inlineStr">
        <is>
          <t>Test_ID</t>
        </is>
      </c>
      <c r="C1" s="2" t="inlineStr">
        <is>
          <t>Sensor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Baseline_Value</t>
        </is>
      </c>
      <c r="G1" s="2" t="inlineStr">
        <is>
          <t>Conditions</t>
        </is>
      </c>
      <c r="H1" s="2" t="inlineStr">
        <is>
          <t>Notes</t>
        </is>
      </c>
      <c r="I1" s="3" t="inlineStr">
        <is>
          <t>Pass</t>
        </is>
      </c>
      <c r="J1" s="3" t="inlineStr">
        <is>
          <t>Rule_Eval</t>
        </is>
      </c>
    </row>
    <row r="2">
      <c r="A2" t="inlineStr">
        <is>
          <t>2026-01-21T11:42:32</t>
        </is>
      </c>
      <c r="B2" t="inlineStr">
        <is>
          <t>T-001</t>
        </is>
      </c>
      <c r="C2" t="inlineStr">
        <is>
          <t>coherence</t>
        </is>
      </c>
      <c r="D2" t="n">
        <v>0.9399</v>
      </c>
      <c r="G2" t="inlineStr">
        <is>
          <t>Head=7.5m; Flow=45 L/s</t>
        </is>
      </c>
      <c r="H2" t="inlineStr">
        <is>
          <t>synthetic</t>
        </is>
      </c>
      <c r="I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">
      <c r="A3" t="inlineStr">
        <is>
          <t>2026-01-21T11:44:32</t>
        </is>
      </c>
      <c r="B3" t="inlineStr">
        <is>
          <t>T-001</t>
        </is>
      </c>
      <c r="C3" t="inlineStr">
        <is>
          <t>coherence</t>
        </is>
      </c>
      <c r="D3" t="n">
        <v>0.9145</v>
      </c>
      <c r="G3" t="inlineStr">
        <is>
          <t>Head=7.5m; Flow=45 L/s</t>
        </is>
      </c>
      <c r="H3" t="inlineStr">
        <is>
          <t>synthetic</t>
        </is>
      </c>
      <c r="I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">
      <c r="A4" t="inlineStr">
        <is>
          <t>2026-01-21T11:46:32</t>
        </is>
      </c>
      <c r="B4" t="inlineStr">
        <is>
          <t>T-001</t>
        </is>
      </c>
      <c r="C4" t="inlineStr">
        <is>
          <t>coherence</t>
        </is>
      </c>
      <c r="D4" t="n">
        <v>0.9459</v>
      </c>
      <c r="G4" t="inlineStr">
        <is>
          <t>Head=7.5m; Flow=45 L/s</t>
        </is>
      </c>
      <c r="H4" t="inlineStr">
        <is>
          <t>synthetic</t>
        </is>
      </c>
      <c r="I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">
      <c r="A5" t="inlineStr">
        <is>
          <t>2026-01-21T11:48:32</t>
        </is>
      </c>
      <c r="B5" t="inlineStr">
        <is>
          <t>T-001</t>
        </is>
      </c>
      <c r="C5" t="inlineStr">
        <is>
          <t>coherence</t>
        </is>
      </c>
      <c r="D5" t="n">
        <v>0.9809</v>
      </c>
      <c r="G5" t="inlineStr">
        <is>
          <t>Head=7.5m; Flow=45 L/s</t>
        </is>
      </c>
      <c r="H5" t="inlineStr">
        <is>
          <t>synthetic</t>
        </is>
      </c>
      <c r="I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">
      <c r="A6" t="inlineStr">
        <is>
          <t>2026-01-21T11:50:32</t>
        </is>
      </c>
      <c r="B6" t="inlineStr">
        <is>
          <t>T-001</t>
        </is>
      </c>
      <c r="C6" t="inlineStr">
        <is>
          <t>coherence</t>
        </is>
      </c>
      <c r="D6" t="n">
        <v>0.9106</v>
      </c>
      <c r="G6" t="inlineStr">
        <is>
          <t>Head=7.5m; Flow=45 L/s</t>
        </is>
      </c>
      <c r="H6" t="inlineStr">
        <is>
          <t>synthetic</t>
        </is>
      </c>
      <c r="I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">
      <c r="A7" t="inlineStr">
        <is>
          <t>2026-01-21T11:52:32</t>
        </is>
      </c>
      <c r="B7" t="inlineStr">
        <is>
          <t>T-001</t>
        </is>
      </c>
      <c r="C7" t="inlineStr">
        <is>
          <t>coherence</t>
        </is>
      </c>
      <c r="D7" t="n">
        <v>0.9106</v>
      </c>
      <c r="G7" t="inlineStr">
        <is>
          <t>Head=7.5m; Flow=45 L/s</t>
        </is>
      </c>
      <c r="H7" t="inlineStr">
        <is>
          <t>synthetic</t>
        </is>
      </c>
      <c r="I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">
      <c r="A8" t="inlineStr">
        <is>
          <t>2026-01-21T11:54:32</t>
        </is>
      </c>
      <c r="B8" t="inlineStr">
        <is>
          <t>T-001</t>
        </is>
      </c>
      <c r="C8" t="inlineStr">
        <is>
          <t>coherence</t>
        </is>
      </c>
      <c r="D8" t="n">
        <v>0.9832</v>
      </c>
      <c r="G8" t="inlineStr">
        <is>
          <t>Head=7.5m; Flow=45 L/s</t>
        </is>
      </c>
      <c r="H8" t="inlineStr">
        <is>
          <t>synthetic</t>
        </is>
      </c>
      <c r="I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">
      <c r="A9" t="inlineStr">
        <is>
          <t>2026-01-21T11:56:32</t>
        </is>
      </c>
      <c r="B9" t="inlineStr">
        <is>
          <t>T-001</t>
        </is>
      </c>
      <c r="C9" t="inlineStr">
        <is>
          <t>coherence</t>
        </is>
      </c>
      <c r="D9" t="n">
        <v>0.9507</v>
      </c>
      <c r="G9" t="inlineStr">
        <is>
          <t>Head=7.5m; Flow=45 L/s</t>
        </is>
      </c>
      <c r="H9" t="inlineStr">
        <is>
          <t>synthetic</t>
        </is>
      </c>
      <c r="I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0">
      <c r="A10" t="inlineStr">
        <is>
          <t>2026-01-21T11:58:32</t>
        </is>
      </c>
      <c r="B10" t="inlineStr">
        <is>
          <t>T-001</t>
        </is>
      </c>
      <c r="C10" t="inlineStr">
        <is>
          <t>coherence</t>
        </is>
      </c>
      <c r="D10" t="n">
        <v>0.9012</v>
      </c>
      <c r="G10" t="inlineStr">
        <is>
          <t>Head=7.5m; Flow=45 L/s</t>
        </is>
      </c>
      <c r="H10" t="inlineStr">
        <is>
          <t>synthetic</t>
        </is>
      </c>
      <c r="I1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1">
      <c r="A11" t="inlineStr">
        <is>
          <t>2026-01-21T12:00:32</t>
        </is>
      </c>
      <c r="B11" t="inlineStr">
        <is>
          <t>T-001</t>
        </is>
      </c>
      <c r="C11" t="inlineStr">
        <is>
          <t>coherence</t>
        </is>
      </c>
      <c r="D11" t="n">
        <v>0.9417</v>
      </c>
      <c r="G11" t="inlineStr">
        <is>
          <t>Head=7.5m; Flow=45 L/s</t>
        </is>
      </c>
      <c r="H11" t="inlineStr">
        <is>
          <t>synthetic</t>
        </is>
      </c>
      <c r="I1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2">
      <c r="A12" t="inlineStr">
        <is>
          <t>2026-01-21T12:02:32</t>
        </is>
      </c>
      <c r="B12" t="inlineStr">
        <is>
          <t>T-001</t>
        </is>
      </c>
      <c r="C12" t="inlineStr">
        <is>
          <t>coherence</t>
        </is>
      </c>
      <c r="D12" t="n">
        <v>0.9015</v>
      </c>
      <c r="G12" t="inlineStr">
        <is>
          <t>Head=7.5m; Flow=45 L/s</t>
        </is>
      </c>
      <c r="H12" t="inlineStr">
        <is>
          <t>synthetic</t>
        </is>
      </c>
      <c r="I1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3">
      <c r="A13" t="inlineStr">
        <is>
          <t>2026-01-21T12:04:32</t>
        </is>
      </c>
      <c r="B13" t="inlineStr">
        <is>
          <t>T-001</t>
        </is>
      </c>
      <c r="C13" t="inlineStr">
        <is>
          <t>coherence</t>
        </is>
      </c>
      <c r="D13" t="n">
        <v>0.9014</v>
      </c>
      <c r="G13" t="inlineStr">
        <is>
          <t>Head=7.5m; Flow=45 L/s</t>
        </is>
      </c>
      <c r="H13" t="inlineStr">
        <is>
          <t>synthetic</t>
        </is>
      </c>
      <c r="I1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4">
      <c r="A14" t="inlineStr">
        <is>
          <t>2026-01-21T12:06:32</t>
        </is>
      </c>
      <c r="B14" t="inlineStr">
        <is>
          <t>T-001</t>
        </is>
      </c>
      <c r="C14" t="inlineStr">
        <is>
          <t>coherence</t>
        </is>
      </c>
      <c r="D14" t="n">
        <v>0.9297</v>
      </c>
      <c r="G14" t="inlineStr">
        <is>
          <t>Head=7.5m; Flow=45 L/s</t>
        </is>
      </c>
      <c r="H14" t="inlineStr">
        <is>
          <t>synthetic</t>
        </is>
      </c>
      <c r="I1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5">
      <c r="A15" t="inlineStr">
        <is>
          <t>2026-01-21T12:08:32</t>
        </is>
      </c>
      <c r="B15" t="inlineStr">
        <is>
          <t>T-001</t>
        </is>
      </c>
      <c r="C15" t="inlineStr">
        <is>
          <t>coherence</t>
        </is>
      </c>
      <c r="D15" t="n">
        <v>0.8435</v>
      </c>
      <c r="G15" t="inlineStr">
        <is>
          <t>Head=7.5m; Flow=45 L/s</t>
        </is>
      </c>
      <c r="H15" t="inlineStr">
        <is>
          <t>synthetic</t>
        </is>
      </c>
      <c r="I1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6">
      <c r="A16" t="inlineStr">
        <is>
          <t>2026-01-21T12:10:32</t>
        </is>
      </c>
      <c r="B16" t="inlineStr">
        <is>
          <t>T-001</t>
        </is>
      </c>
      <c r="C16" t="inlineStr">
        <is>
          <t>coherence</t>
        </is>
      </c>
      <c r="D16" t="n">
        <v>0.851</v>
      </c>
      <c r="G16" t="inlineStr">
        <is>
          <t>Head=7.5m; Flow=45 L/s</t>
        </is>
      </c>
      <c r="H16" t="inlineStr">
        <is>
          <t>synthetic</t>
        </is>
      </c>
      <c r="I1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7">
      <c r="A17" t="inlineStr">
        <is>
          <t>2026-01-21T12:12:32</t>
        </is>
      </c>
      <c r="B17" t="inlineStr">
        <is>
          <t>T-001</t>
        </is>
      </c>
      <c r="C17" t="inlineStr">
        <is>
          <t>coherence</t>
        </is>
      </c>
      <c r="D17" t="n">
        <v>0.8975</v>
      </c>
      <c r="G17" t="inlineStr">
        <is>
          <t>Head=7.5m; Flow=45 L/s</t>
        </is>
      </c>
      <c r="H17" t="inlineStr">
        <is>
          <t>synthetic</t>
        </is>
      </c>
      <c r="I1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8">
      <c r="A18" t="inlineStr">
        <is>
          <t>2026-01-21T12:14:32</t>
        </is>
      </c>
      <c r="B18" t="inlineStr">
        <is>
          <t>T-001</t>
        </is>
      </c>
      <c r="C18" t="inlineStr">
        <is>
          <t>coherence</t>
        </is>
      </c>
      <c r="D18" t="n">
        <v>0.8794999999999999</v>
      </c>
      <c r="G18" t="inlineStr">
        <is>
          <t>Head=7.5m; Flow=45 L/s</t>
        </is>
      </c>
      <c r="H18" t="inlineStr">
        <is>
          <t>synthetic</t>
        </is>
      </c>
      <c r="I1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9">
      <c r="A19" t="inlineStr">
        <is>
          <t>2026-01-21T12:16:32</t>
        </is>
      </c>
      <c r="B19" t="inlineStr">
        <is>
          <t>T-001</t>
        </is>
      </c>
      <c r="C19" t="inlineStr">
        <is>
          <t>coherence</t>
        </is>
      </c>
      <c r="D19" t="n">
        <v>0.9326</v>
      </c>
      <c r="G19" t="inlineStr">
        <is>
          <t>Head=7.5m; Flow=45 L/s</t>
        </is>
      </c>
      <c r="H19" t="inlineStr">
        <is>
          <t>synthetic</t>
        </is>
      </c>
      <c r="I1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0">
      <c r="A20" t="inlineStr">
        <is>
          <t>2026-01-21T12:18:32</t>
        </is>
      </c>
      <c r="B20" t="inlineStr">
        <is>
          <t>T-001</t>
        </is>
      </c>
      <c r="C20" t="inlineStr">
        <is>
          <t>coherence</t>
        </is>
      </c>
      <c r="D20" t="n">
        <v>0.8837</v>
      </c>
      <c r="G20" t="inlineStr">
        <is>
          <t>Head=7.5m; Flow=45 L/s</t>
        </is>
      </c>
      <c r="H20" t="inlineStr">
        <is>
          <t>synthetic</t>
        </is>
      </c>
      <c r="I2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1">
      <c r="A21" t="inlineStr">
        <is>
          <t>2026-01-21T12:20:32</t>
        </is>
      </c>
      <c r="B21" t="inlineStr">
        <is>
          <t>T-001</t>
        </is>
      </c>
      <c r="C21" t="inlineStr">
        <is>
          <t>coherence</t>
        </is>
      </c>
      <c r="D21" t="n">
        <v>0.8635</v>
      </c>
      <c r="G21" t="inlineStr">
        <is>
          <t>Head=7.5m; Flow=45 L/s</t>
        </is>
      </c>
      <c r="H21" t="inlineStr">
        <is>
          <t>synthetic</t>
        </is>
      </c>
      <c r="I2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2">
      <c r="A22" t="inlineStr">
        <is>
          <t>2026-01-21T12:22:32</t>
        </is>
      </c>
      <c r="B22" t="inlineStr">
        <is>
          <t>T-001</t>
        </is>
      </c>
      <c r="C22" t="inlineStr">
        <is>
          <t>coherence</t>
        </is>
      </c>
      <c r="D22" t="n">
        <v>0.9786</v>
      </c>
      <c r="G22" t="inlineStr">
        <is>
          <t>Head=7.5m; Flow=45 L/s</t>
        </is>
      </c>
      <c r="H22" t="inlineStr">
        <is>
          <t>synthetic</t>
        </is>
      </c>
      <c r="I2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3">
      <c r="A23" t="inlineStr">
        <is>
          <t>2026-01-21T12:24:32</t>
        </is>
      </c>
      <c r="B23" t="inlineStr">
        <is>
          <t>T-001</t>
        </is>
      </c>
      <c r="C23" t="inlineStr">
        <is>
          <t>coherence</t>
        </is>
      </c>
      <c r="D23" t="n">
        <v>0.911</v>
      </c>
      <c r="G23" t="inlineStr">
        <is>
          <t>Head=7.5m; Flow=45 L/s</t>
        </is>
      </c>
      <c r="H23" t="inlineStr">
        <is>
          <t>synthetic</t>
        </is>
      </c>
      <c r="I2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4">
      <c r="A24" t="inlineStr">
        <is>
          <t>2026-01-21T12:26:32</t>
        </is>
      </c>
      <c r="B24" t="inlineStr">
        <is>
          <t>T-001</t>
        </is>
      </c>
      <c r="C24" t="inlineStr">
        <is>
          <t>coherence</t>
        </is>
      </c>
      <c r="D24" t="n">
        <v>0.9227</v>
      </c>
      <c r="G24" t="inlineStr">
        <is>
          <t>Head=7.5m; Flow=45 L/s</t>
        </is>
      </c>
      <c r="H24" t="inlineStr">
        <is>
          <t>synthetic</t>
        </is>
      </c>
      <c r="I2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5">
      <c r="A25" t="inlineStr">
        <is>
          <t>2026-01-21T12:28:32</t>
        </is>
      </c>
      <c r="B25" t="inlineStr">
        <is>
          <t>T-001</t>
        </is>
      </c>
      <c r="C25" t="inlineStr">
        <is>
          <t>coherence</t>
        </is>
      </c>
      <c r="D25" t="n">
        <v>0.863</v>
      </c>
      <c r="G25" t="inlineStr">
        <is>
          <t>Head=7.5m; Flow=45 L/s</t>
        </is>
      </c>
      <c r="H25" t="inlineStr">
        <is>
          <t>synthetic</t>
        </is>
      </c>
      <c r="I2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6">
      <c r="A26" t="inlineStr">
        <is>
          <t>2026-01-21T12:30:32</t>
        </is>
      </c>
      <c r="B26" t="inlineStr">
        <is>
          <t>T-001</t>
        </is>
      </c>
      <c r="C26" t="inlineStr">
        <is>
          <t>coherence</t>
        </is>
      </c>
      <c r="D26" t="n">
        <v>0.8982</v>
      </c>
      <c r="G26" t="inlineStr">
        <is>
          <t>Head=7.5m; Flow=45 L/s</t>
        </is>
      </c>
      <c r="H26" t="inlineStr">
        <is>
          <t>synthetic</t>
        </is>
      </c>
      <c r="I2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7">
      <c r="A27" t="inlineStr">
        <is>
          <t>2026-01-21T12:32:32</t>
        </is>
      </c>
      <c r="B27" t="inlineStr">
        <is>
          <t>T-001</t>
        </is>
      </c>
      <c r="C27" t="inlineStr">
        <is>
          <t>coherence</t>
        </is>
      </c>
      <c r="D27" t="n">
        <v>0.9244</v>
      </c>
      <c r="G27" t="inlineStr">
        <is>
          <t>Head=7.5m; Flow=45 L/s</t>
        </is>
      </c>
      <c r="H27" t="inlineStr">
        <is>
          <t>synthetic</t>
        </is>
      </c>
      <c r="I2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8">
      <c r="A28" t="inlineStr">
        <is>
          <t>2026-01-21T12:34:32</t>
        </is>
      </c>
      <c r="B28" t="inlineStr">
        <is>
          <t>T-001</t>
        </is>
      </c>
      <c r="C28" t="inlineStr">
        <is>
          <t>coherence</t>
        </is>
      </c>
      <c r="D28" t="n">
        <v>0.874</v>
      </c>
      <c r="G28" t="inlineStr">
        <is>
          <t>Head=7.5m; Flow=45 L/s</t>
        </is>
      </c>
      <c r="H28" t="inlineStr">
        <is>
          <t>synthetic</t>
        </is>
      </c>
      <c r="I2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29">
      <c r="A29" t="inlineStr">
        <is>
          <t>2026-01-21T12:36:32</t>
        </is>
      </c>
      <c r="B29" t="inlineStr">
        <is>
          <t>T-001</t>
        </is>
      </c>
      <c r="C29" t="inlineStr">
        <is>
          <t>coherence</t>
        </is>
      </c>
      <c r="D29" t="n">
        <v>0.9350000000000001</v>
      </c>
      <c r="G29" t="inlineStr">
        <is>
          <t>Head=7.5m; Flow=45 L/s</t>
        </is>
      </c>
      <c r="H29" t="inlineStr">
        <is>
          <t>synthetic</t>
        </is>
      </c>
      <c r="I2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2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0">
      <c r="A30" t="inlineStr">
        <is>
          <t>2026-01-21T11:42:32</t>
        </is>
      </c>
      <c r="B30" t="inlineStr">
        <is>
          <t>T-002</t>
        </is>
      </c>
      <c r="C30" t="inlineStr">
        <is>
          <t>ripple</t>
        </is>
      </c>
      <c r="D30" t="n">
        <v>9.297700000000001</v>
      </c>
      <c r="E30" t="inlineStr">
        <is>
          <t>mm</t>
        </is>
      </c>
      <c r="F30" t="n">
        <v>11.3994</v>
      </c>
      <c r="G30" t="inlineStr">
        <is>
          <t>Head=7.5m; Flow=45 L/s</t>
        </is>
      </c>
      <c r="H30" t="inlineStr">
        <is>
          <t>synthetic</t>
        </is>
      </c>
      <c r="I3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1">
      <c r="A31" t="inlineStr">
        <is>
          <t>2026-01-21T11:45:32</t>
        </is>
      </c>
      <c r="B31" t="inlineStr">
        <is>
          <t>T-002</t>
        </is>
      </c>
      <c r="C31" t="inlineStr">
        <is>
          <t>ripple</t>
        </is>
      </c>
      <c r="D31" t="n">
        <v>6.7182</v>
      </c>
      <c r="E31" t="inlineStr">
        <is>
          <t>mm</t>
        </is>
      </c>
      <c r="F31" t="n">
        <v>11.7083</v>
      </c>
      <c r="G31" t="inlineStr">
        <is>
          <t>Head=7.5m; Flow=45 L/s</t>
        </is>
      </c>
      <c r="H31" t="inlineStr">
        <is>
          <t>synthetic</t>
        </is>
      </c>
      <c r="I3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2">
      <c r="A32" t="inlineStr">
        <is>
          <t>2026-01-21T11:48:32</t>
        </is>
      </c>
      <c r="B32" t="inlineStr">
        <is>
          <t>T-002</t>
        </is>
      </c>
      <c r="C32" t="inlineStr">
        <is>
          <t>ripple</t>
        </is>
      </c>
      <c r="D32" t="n">
        <v>7.4373</v>
      </c>
      <c r="E32" t="inlineStr">
        <is>
          <t>mm</t>
        </is>
      </c>
      <c r="F32" t="n">
        <v>12.8225</v>
      </c>
      <c r="G32" t="inlineStr">
        <is>
          <t>Head=7.5m; Flow=45 L/s</t>
        </is>
      </c>
      <c r="H32" t="inlineStr">
        <is>
          <t>synthetic</t>
        </is>
      </c>
      <c r="I3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3">
      <c r="A33" t="inlineStr">
        <is>
          <t>2026-01-21T11:51:32</t>
        </is>
      </c>
      <c r="B33" t="inlineStr">
        <is>
          <t>T-002</t>
        </is>
      </c>
      <c r="C33" t="inlineStr">
        <is>
          <t>ripple</t>
        </is>
      </c>
      <c r="D33" t="n">
        <v>5.3488</v>
      </c>
      <c r="E33" t="inlineStr">
        <is>
          <t>mm</t>
        </is>
      </c>
      <c r="F33" t="n">
        <v>10.7792</v>
      </c>
      <c r="G33" t="inlineStr">
        <is>
          <t>Head=7.5m; Flow=45 L/s</t>
        </is>
      </c>
      <c r="H33" t="inlineStr">
        <is>
          <t>synthetic</t>
        </is>
      </c>
      <c r="I3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4">
      <c r="A34" t="inlineStr">
        <is>
          <t>2026-01-21T11:54:32</t>
        </is>
      </c>
      <c r="B34" t="inlineStr">
        <is>
          <t>T-002</t>
        </is>
      </c>
      <c r="C34" t="inlineStr">
        <is>
          <t>ripple</t>
        </is>
      </c>
      <c r="D34" t="n">
        <v>6.3564</v>
      </c>
      <c r="E34" t="inlineStr">
        <is>
          <t>mm</t>
        </is>
      </c>
      <c r="F34" t="n">
        <v>12.7385</v>
      </c>
      <c r="G34" t="inlineStr">
        <is>
          <t>Head=7.5m; Flow=45 L/s</t>
        </is>
      </c>
      <c r="H34" t="inlineStr">
        <is>
          <t>synthetic</t>
        </is>
      </c>
      <c r="I3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5">
      <c r="A35" t="inlineStr">
        <is>
          <t>2026-01-21T11:57:32</t>
        </is>
      </c>
      <c r="B35" t="inlineStr">
        <is>
          <t>T-002</t>
        </is>
      </c>
      <c r="C35" t="inlineStr">
        <is>
          <t>ripple</t>
        </is>
      </c>
      <c r="D35" t="n">
        <v>6.467</v>
      </c>
      <c r="E35" t="inlineStr">
        <is>
          <t>mm</t>
        </is>
      </c>
      <c r="F35" t="n">
        <v>12.1714</v>
      </c>
      <c r="G35" t="inlineStr">
        <is>
          <t>Head=7.5m; Flow=45 L/s</t>
        </is>
      </c>
      <c r="H35" t="inlineStr">
        <is>
          <t>synthetic</t>
        </is>
      </c>
      <c r="I3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6">
      <c r="A36" t="inlineStr">
        <is>
          <t>2026-01-21T12:00:32</t>
        </is>
      </c>
      <c r="B36" t="inlineStr">
        <is>
          <t>T-002</t>
        </is>
      </c>
      <c r="C36" t="inlineStr">
        <is>
          <t>ripple</t>
        </is>
      </c>
      <c r="D36" t="n">
        <v>8.3711</v>
      </c>
      <c r="E36" t="inlineStr">
        <is>
          <t>mm</t>
        </is>
      </c>
      <c r="F36" t="n">
        <v>10.5215</v>
      </c>
      <c r="G36" t="inlineStr">
        <is>
          <t>Head=7.5m; Flow=45 L/s</t>
        </is>
      </c>
      <c r="H36" t="inlineStr">
        <is>
          <t>synthetic</t>
        </is>
      </c>
      <c r="I3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7">
      <c r="A37" t="inlineStr">
        <is>
          <t>2026-01-21T12:03:32</t>
        </is>
      </c>
      <c r="B37" t="inlineStr">
        <is>
          <t>T-002</t>
        </is>
      </c>
      <c r="C37" t="inlineStr">
        <is>
          <t>ripple</t>
        </is>
      </c>
      <c r="D37" t="n">
        <v>6.6065</v>
      </c>
      <c r="E37" t="inlineStr">
        <is>
          <t>mm</t>
        </is>
      </c>
      <c r="F37" t="n">
        <v>11.2802</v>
      </c>
      <c r="G37" t="inlineStr">
        <is>
          <t>Head=7.5m; Flow=45 L/s</t>
        </is>
      </c>
      <c r="H37" t="inlineStr">
        <is>
          <t>synthetic</t>
        </is>
      </c>
      <c r="I3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8">
      <c r="A38" t="inlineStr">
        <is>
          <t>2026-01-21T12:06:32</t>
        </is>
      </c>
      <c r="B38" t="inlineStr">
        <is>
          <t>T-002</t>
        </is>
      </c>
      <c r="C38" t="inlineStr">
        <is>
          <t>ripple</t>
        </is>
      </c>
      <c r="D38" t="n">
        <v>8.586499999999999</v>
      </c>
      <c r="E38" t="inlineStr">
        <is>
          <t>mm</t>
        </is>
      </c>
      <c r="F38" t="n">
        <v>12.3241</v>
      </c>
      <c r="G38" t="inlineStr">
        <is>
          <t>Head=7.5m; Flow=45 L/s</t>
        </is>
      </c>
      <c r="H38" t="inlineStr">
        <is>
          <t>synthetic</t>
        </is>
      </c>
      <c r="I3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39">
      <c r="A39" t="inlineStr">
        <is>
          <t>2026-01-21T12:09:32</t>
        </is>
      </c>
      <c r="B39" t="inlineStr">
        <is>
          <t>T-002</t>
        </is>
      </c>
      <c r="C39" t="inlineStr">
        <is>
          <t>ripple</t>
        </is>
      </c>
      <c r="D39" t="n">
        <v>8.8005</v>
      </c>
      <c r="E39" t="inlineStr">
        <is>
          <t>mm</t>
        </is>
      </c>
      <c r="F39" t="n">
        <v>11.6149</v>
      </c>
      <c r="G39" t="inlineStr">
        <is>
          <t>Head=7.5m; Flow=45 L/s</t>
        </is>
      </c>
      <c r="H39" t="inlineStr">
        <is>
          <t>synthetic</t>
        </is>
      </c>
      <c r="I3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3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0">
      <c r="A40" t="inlineStr">
        <is>
          <t>2026-01-21T12:12:32</t>
        </is>
      </c>
      <c r="B40" t="inlineStr">
        <is>
          <t>T-002</t>
        </is>
      </c>
      <c r="C40" t="inlineStr">
        <is>
          <t>ripple</t>
        </is>
      </c>
      <c r="D40" t="n">
        <v>9.483599999999999</v>
      </c>
      <c r="E40" t="inlineStr">
        <is>
          <t>mm</t>
        </is>
      </c>
      <c r="F40" t="n">
        <v>13.031</v>
      </c>
      <c r="G40" t="inlineStr">
        <is>
          <t>Head=7.5m; Flow=45 L/s</t>
        </is>
      </c>
      <c r="H40" t="inlineStr">
        <is>
          <t>synthetic</t>
        </is>
      </c>
      <c r="I4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1">
      <c r="A41" t="inlineStr">
        <is>
          <t>2026-01-21T12:15:32</t>
        </is>
      </c>
      <c r="B41" t="inlineStr">
        <is>
          <t>T-002</t>
        </is>
      </c>
      <c r="C41" t="inlineStr">
        <is>
          <t>ripple</t>
        </is>
      </c>
      <c r="D41" t="n">
        <v>6.1937</v>
      </c>
      <c r="E41" t="inlineStr">
        <is>
          <t>mm</t>
        </is>
      </c>
      <c r="F41" t="n">
        <v>12.9313</v>
      </c>
      <c r="G41" t="inlineStr">
        <is>
          <t>Head=7.5m; Flow=45 L/s</t>
        </is>
      </c>
      <c r="H41" t="inlineStr">
        <is>
          <t>synthetic</t>
        </is>
      </c>
      <c r="I4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2">
      <c r="A42" t="inlineStr">
        <is>
          <t>2026-01-21T12:18:32</t>
        </is>
      </c>
      <c r="B42" t="inlineStr">
        <is>
          <t>T-002</t>
        </is>
      </c>
      <c r="C42" t="inlineStr">
        <is>
          <t>ripple</t>
        </is>
      </c>
      <c r="D42" t="n">
        <v>5.745</v>
      </c>
      <c r="E42" t="inlineStr">
        <is>
          <t>mm</t>
        </is>
      </c>
      <c r="F42" t="n">
        <v>12.3313</v>
      </c>
      <c r="G42" t="inlineStr">
        <is>
          <t>Head=7.5m; Flow=45 L/s</t>
        </is>
      </c>
      <c r="H42" t="inlineStr">
        <is>
          <t>synthetic</t>
        </is>
      </c>
      <c r="I4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3">
      <c r="A43" t="inlineStr">
        <is>
          <t>2026-01-21T12:21:32</t>
        </is>
      </c>
      <c r="B43" t="inlineStr">
        <is>
          <t>T-002</t>
        </is>
      </c>
      <c r="C43" t="inlineStr">
        <is>
          <t>ripple</t>
        </is>
      </c>
      <c r="D43" t="n">
        <v>6.8939</v>
      </c>
      <c r="E43" t="inlineStr">
        <is>
          <t>mm</t>
        </is>
      </c>
      <c r="F43" t="n">
        <v>12.9755</v>
      </c>
      <c r="G43" t="inlineStr">
        <is>
          <t>Head=7.5m; Flow=45 L/s</t>
        </is>
      </c>
      <c r="H43" t="inlineStr">
        <is>
          <t>synthetic</t>
        </is>
      </c>
      <c r="I4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4">
      <c r="A44" t="inlineStr">
        <is>
          <t>2026-01-21T12:24:32</t>
        </is>
      </c>
      <c r="B44" t="inlineStr">
        <is>
          <t>T-002</t>
        </is>
      </c>
      <c r="C44" t="inlineStr">
        <is>
          <t>ripple</t>
        </is>
      </c>
      <c r="D44" t="n">
        <v>10.549</v>
      </c>
      <c r="E44" t="inlineStr">
        <is>
          <t>mm</t>
        </is>
      </c>
      <c r="F44" t="n">
        <v>12.8125</v>
      </c>
      <c r="G44" t="inlineStr">
        <is>
          <t>Head=7.5m; Flow=45 L/s</t>
        </is>
      </c>
      <c r="H44" t="inlineStr">
        <is>
          <t>synthetic</t>
        </is>
      </c>
      <c r="I4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5">
      <c r="A45" t="inlineStr">
        <is>
          <t>2026-01-21T12:27:32</t>
        </is>
      </c>
      <c r="B45" t="inlineStr">
        <is>
          <t>T-002</t>
        </is>
      </c>
      <c r="C45" t="inlineStr">
        <is>
          <t>ripple</t>
        </is>
      </c>
      <c r="D45" t="n">
        <v>8.3919</v>
      </c>
      <c r="E45" t="inlineStr">
        <is>
          <t>mm</t>
        </is>
      </c>
      <c r="F45" t="n">
        <v>13.3562</v>
      </c>
      <c r="G45" t="inlineStr">
        <is>
          <t>Head=7.5m; Flow=45 L/s</t>
        </is>
      </c>
      <c r="H45" t="inlineStr">
        <is>
          <t>synthetic</t>
        </is>
      </c>
      <c r="I4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6">
      <c r="A46" t="inlineStr">
        <is>
          <t>2026-01-21T12:30:32</t>
        </is>
      </c>
      <c r="B46" t="inlineStr">
        <is>
          <t>T-002</t>
        </is>
      </c>
      <c r="C46" t="inlineStr">
        <is>
          <t>ripple</t>
        </is>
      </c>
      <c r="D46" t="n">
        <v>10.2416</v>
      </c>
      <c r="E46" t="inlineStr">
        <is>
          <t>mm</t>
        </is>
      </c>
      <c r="F46" t="n">
        <v>12.3614</v>
      </c>
      <c r="G46" t="inlineStr">
        <is>
          <t>Head=7.5m; Flow=45 L/s</t>
        </is>
      </c>
      <c r="H46" t="inlineStr">
        <is>
          <t>synthetic</t>
        </is>
      </c>
      <c r="I4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7">
      <c r="A47" t="inlineStr">
        <is>
          <t>2026-01-21T12:33:32</t>
        </is>
      </c>
      <c r="B47" t="inlineStr">
        <is>
          <t>T-002</t>
        </is>
      </c>
      <c r="C47" t="inlineStr">
        <is>
          <t>ripple</t>
        </is>
      </c>
      <c r="D47" t="n">
        <v>7.5391</v>
      </c>
      <c r="E47" t="inlineStr">
        <is>
          <t>mm</t>
        </is>
      </c>
      <c r="F47" t="n">
        <v>13.538</v>
      </c>
      <c r="G47" t="inlineStr">
        <is>
          <t>Head=7.5m; Flow=45 L/s</t>
        </is>
      </c>
      <c r="H47" t="inlineStr">
        <is>
          <t>synthetic</t>
        </is>
      </c>
      <c r="I4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8">
      <c r="A48" t="inlineStr">
        <is>
          <t>2026-01-21T12:36:32</t>
        </is>
      </c>
      <c r="B48" t="inlineStr">
        <is>
          <t>T-002</t>
        </is>
      </c>
      <c r="C48" t="inlineStr">
        <is>
          <t>ripple</t>
        </is>
      </c>
      <c r="D48" t="n">
        <v>6.976</v>
      </c>
      <c r="E48" t="inlineStr">
        <is>
          <t>mm</t>
        </is>
      </c>
      <c r="F48" t="n">
        <v>12.087</v>
      </c>
      <c r="G48" t="inlineStr">
        <is>
          <t>Head=7.5m; Flow=45 L/s</t>
        </is>
      </c>
      <c r="H48" t="inlineStr">
        <is>
          <t>synthetic</t>
        </is>
      </c>
      <c r="I4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49">
      <c r="A49" t="inlineStr">
        <is>
          <t>2026-01-21T12:39:32</t>
        </is>
      </c>
      <c r="B49" t="inlineStr">
        <is>
          <t>T-002</t>
        </is>
      </c>
      <c r="C49" t="inlineStr">
        <is>
          <t>ripple</t>
        </is>
      </c>
      <c r="D49" t="n">
        <v>9.0078</v>
      </c>
      <c r="E49" t="inlineStr">
        <is>
          <t>mm</t>
        </is>
      </c>
      <c r="F49" t="n">
        <v>11.701</v>
      </c>
      <c r="G49" t="inlineStr">
        <is>
          <t>Head=7.5m; Flow=45 L/s</t>
        </is>
      </c>
      <c r="H49" t="inlineStr">
        <is>
          <t>synthetic</t>
        </is>
      </c>
      <c r="I4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4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0">
      <c r="A50" t="inlineStr">
        <is>
          <t>2026-01-21T12:42:32</t>
        </is>
      </c>
      <c r="B50" t="inlineStr">
        <is>
          <t>T-002</t>
        </is>
      </c>
      <c r="C50" t="inlineStr">
        <is>
          <t>ripple</t>
        </is>
      </c>
      <c r="D50" t="n">
        <v>6.3244</v>
      </c>
      <c r="E50" t="inlineStr">
        <is>
          <t>mm</t>
        </is>
      </c>
      <c r="F50" t="n">
        <v>13.4779</v>
      </c>
      <c r="G50" t="inlineStr">
        <is>
          <t>Head=7.5m; Flow=45 L/s</t>
        </is>
      </c>
      <c r="H50" t="inlineStr">
        <is>
          <t>synthetic</t>
        </is>
      </c>
      <c r="I5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1">
      <c r="A51" t="inlineStr">
        <is>
          <t>2026-01-21T12:45:32</t>
        </is>
      </c>
      <c r="B51" t="inlineStr">
        <is>
          <t>T-002</t>
        </is>
      </c>
      <c r="C51" t="inlineStr">
        <is>
          <t>ripple</t>
        </is>
      </c>
      <c r="D51" t="n">
        <v>5.6296</v>
      </c>
      <c r="E51" t="inlineStr">
        <is>
          <t>mm</t>
        </is>
      </c>
      <c r="F51" t="n">
        <v>11.4817</v>
      </c>
      <c r="G51" t="inlineStr">
        <is>
          <t>Head=7.5m; Flow=45 L/s</t>
        </is>
      </c>
      <c r="H51" t="inlineStr">
        <is>
          <t>synthetic</t>
        </is>
      </c>
      <c r="I5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2">
      <c r="A52" t="inlineStr">
        <is>
          <t>2026-01-21T12:48:32</t>
        </is>
      </c>
      <c r="B52" t="inlineStr">
        <is>
          <t>T-002</t>
        </is>
      </c>
      <c r="C52" t="inlineStr">
        <is>
          <t>ripple</t>
        </is>
      </c>
      <c r="D52" t="n">
        <v>9.748200000000001</v>
      </c>
      <c r="E52" t="inlineStr">
        <is>
          <t>mm</t>
        </is>
      </c>
      <c r="F52" t="n">
        <v>12.9154</v>
      </c>
      <c r="G52" t="inlineStr">
        <is>
          <t>Head=7.5m; Flow=45 L/s</t>
        </is>
      </c>
      <c r="H52" t="inlineStr">
        <is>
          <t>synthetic</t>
        </is>
      </c>
      <c r="I5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3">
      <c r="A53" t="inlineStr">
        <is>
          <t>2026-01-21T12:51:32</t>
        </is>
      </c>
      <c r="B53" t="inlineStr">
        <is>
          <t>T-002</t>
        </is>
      </c>
      <c r="C53" t="inlineStr">
        <is>
          <t>ripple</t>
        </is>
      </c>
      <c r="D53" t="n">
        <v>10.3493</v>
      </c>
      <c r="E53" t="inlineStr">
        <is>
          <t>mm</t>
        </is>
      </c>
      <c r="F53" t="n">
        <v>12.3288</v>
      </c>
      <c r="G53" t="inlineStr">
        <is>
          <t>Head=7.5m; Flow=45 L/s</t>
        </is>
      </c>
      <c r="H53" t="inlineStr">
        <is>
          <t>synthetic</t>
        </is>
      </c>
      <c r="I5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4">
      <c r="A54" t="inlineStr">
        <is>
          <t>2026-01-21T12:54:32</t>
        </is>
      </c>
      <c r="B54" t="inlineStr">
        <is>
          <t>T-002</t>
        </is>
      </c>
      <c r="C54" t="inlineStr">
        <is>
          <t>ripple</t>
        </is>
      </c>
      <c r="D54" t="n">
        <v>6.2904</v>
      </c>
      <c r="E54" t="inlineStr">
        <is>
          <t>mm</t>
        </is>
      </c>
      <c r="F54" t="n">
        <v>11.2979</v>
      </c>
      <c r="G54" t="inlineStr">
        <is>
          <t>Head=7.5m; Flow=45 L/s</t>
        </is>
      </c>
      <c r="H54" t="inlineStr">
        <is>
          <t>synthetic</t>
        </is>
      </c>
      <c r="I5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5">
      <c r="A55" t="inlineStr">
        <is>
          <t>2026-01-21T12:57:32</t>
        </is>
      </c>
      <c r="B55" t="inlineStr">
        <is>
          <t>T-002</t>
        </is>
      </c>
      <c r="C55" t="inlineStr">
        <is>
          <t>ripple</t>
        </is>
      </c>
      <c r="D55" t="n">
        <v>10.6986</v>
      </c>
      <c r="E55" t="inlineStr">
        <is>
          <t>mm</t>
        </is>
      </c>
      <c r="F55" t="n">
        <v>11.6723</v>
      </c>
      <c r="G55" t="inlineStr">
        <is>
          <t>Head=7.5m; Flow=45 L/s</t>
        </is>
      </c>
      <c r="H55" t="inlineStr">
        <is>
          <t>synthetic</t>
        </is>
      </c>
      <c r="I5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6">
      <c r="A56" t="inlineStr">
        <is>
          <t>2026-01-21T11:42:32</t>
        </is>
      </c>
      <c r="B56" t="inlineStr">
        <is>
          <t>T-003</t>
        </is>
      </c>
      <c r="C56" t="inlineStr">
        <is>
          <t>elc drift</t>
        </is>
      </c>
      <c r="D56" t="n">
        <v>0.0658</v>
      </c>
      <c r="E56" t="inlineStr">
        <is>
          <t>Hz</t>
        </is>
      </c>
      <c r="G56" t="inlineStr">
        <is>
          <t>Nominal load 8 kW</t>
        </is>
      </c>
      <c r="H56" t="inlineStr">
        <is>
          <t>synthetic</t>
        </is>
      </c>
      <c r="I5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7">
      <c r="A57" t="inlineStr">
        <is>
          <t>2026-01-21T11:46:32</t>
        </is>
      </c>
      <c r="B57" t="inlineStr">
        <is>
          <t>T-003</t>
        </is>
      </c>
      <c r="C57" t="inlineStr">
        <is>
          <t>elc drift</t>
        </is>
      </c>
      <c r="D57" t="n">
        <v>0.0455</v>
      </c>
      <c r="E57" t="inlineStr">
        <is>
          <t>Hz</t>
        </is>
      </c>
      <c r="G57" t="inlineStr">
        <is>
          <t>Nominal load 8 kW</t>
        </is>
      </c>
      <c r="H57" t="inlineStr">
        <is>
          <t>synthetic</t>
        </is>
      </c>
      <c r="I5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8">
      <c r="A58" t="inlineStr">
        <is>
          <t>2026-01-21T11:50:32</t>
        </is>
      </c>
      <c r="B58" t="inlineStr">
        <is>
          <t>T-003</t>
        </is>
      </c>
      <c r="C58" t="inlineStr">
        <is>
          <t>elc drift</t>
        </is>
      </c>
      <c r="D58" t="n">
        <v>0.0536</v>
      </c>
      <c r="E58" t="inlineStr">
        <is>
          <t>Hz</t>
        </is>
      </c>
      <c r="G58" t="inlineStr">
        <is>
          <t>Nominal load 8 kW</t>
        </is>
      </c>
      <c r="H58" t="inlineStr">
        <is>
          <t>synthetic</t>
        </is>
      </c>
      <c r="I5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59">
      <c r="A59" t="inlineStr">
        <is>
          <t>2026-01-21T11:54:32</t>
        </is>
      </c>
      <c r="B59" t="inlineStr">
        <is>
          <t>T-003</t>
        </is>
      </c>
      <c r="C59" t="inlineStr">
        <is>
          <t>elc drift</t>
        </is>
      </c>
      <c r="D59" t="n">
        <v>0.1326</v>
      </c>
      <c r="E59" t="inlineStr">
        <is>
          <t>Hz</t>
        </is>
      </c>
      <c r="G59" t="inlineStr">
        <is>
          <t>Nominal load 8 kW</t>
        </is>
      </c>
      <c r="H59" t="inlineStr">
        <is>
          <t>synthetic</t>
        </is>
      </c>
      <c r="I5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5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0">
      <c r="A60" t="inlineStr">
        <is>
          <t>2026-01-21T11:58:32</t>
        </is>
      </c>
      <c r="B60" t="inlineStr">
        <is>
          <t>T-003</t>
        </is>
      </c>
      <c r="C60" t="inlineStr">
        <is>
          <t>elc drift</t>
        </is>
      </c>
      <c r="D60" t="n">
        <v>0.07920000000000001</v>
      </c>
      <c r="E60" t="inlineStr">
        <is>
          <t>Hz</t>
        </is>
      </c>
      <c r="G60" t="inlineStr">
        <is>
          <t>Nominal load 8 kW</t>
        </is>
      </c>
      <c r="H60" t="inlineStr">
        <is>
          <t>synthetic</t>
        </is>
      </c>
      <c r="I6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1">
      <c r="A61" t="inlineStr">
        <is>
          <t>2026-01-21T12:02:32</t>
        </is>
      </c>
      <c r="B61" t="inlineStr">
        <is>
          <t>T-003</t>
        </is>
      </c>
      <c r="C61" t="inlineStr">
        <is>
          <t>elc drift</t>
        </is>
      </c>
      <c r="D61" t="n">
        <v>0.098</v>
      </c>
      <c r="E61" t="inlineStr">
        <is>
          <t>Hz</t>
        </is>
      </c>
      <c r="G61" t="inlineStr">
        <is>
          <t>Nominal load 8 kW</t>
        </is>
      </c>
      <c r="H61" t="inlineStr">
        <is>
          <t>synthetic</t>
        </is>
      </c>
      <c r="I6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2">
      <c r="A62" t="inlineStr">
        <is>
          <t>2026-01-21T12:06:32</t>
        </is>
      </c>
      <c r="B62" t="inlineStr">
        <is>
          <t>T-003</t>
        </is>
      </c>
      <c r="C62" t="inlineStr">
        <is>
          <t>elc drift</t>
        </is>
      </c>
      <c r="D62" t="n">
        <v>0.1276</v>
      </c>
      <c r="E62" t="inlineStr">
        <is>
          <t>Hz</t>
        </is>
      </c>
      <c r="G62" t="inlineStr">
        <is>
          <t>Nominal load 8 kW</t>
        </is>
      </c>
      <c r="H62" t="inlineStr">
        <is>
          <t>synthetic</t>
        </is>
      </c>
      <c r="I6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3">
      <c r="A63" t="inlineStr">
        <is>
          <t>2026-01-21T12:10:32</t>
        </is>
      </c>
      <c r="B63" t="inlineStr">
        <is>
          <t>T-003</t>
        </is>
      </c>
      <c r="C63" t="inlineStr">
        <is>
          <t>elc drift</t>
        </is>
      </c>
      <c r="D63" t="n">
        <v>0.0511</v>
      </c>
      <c r="E63" t="inlineStr">
        <is>
          <t>Hz</t>
        </is>
      </c>
      <c r="G63" t="inlineStr">
        <is>
          <t>Nominal load 8 kW</t>
        </is>
      </c>
      <c r="H63" t="inlineStr">
        <is>
          <t>synthetic</t>
        </is>
      </c>
      <c r="I6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4">
      <c r="A64" t="inlineStr">
        <is>
          <t>2026-01-21T12:14:32</t>
        </is>
      </c>
      <c r="B64" t="inlineStr">
        <is>
          <t>T-003</t>
        </is>
      </c>
      <c r="C64" t="inlineStr">
        <is>
          <t>elc drift</t>
        </is>
      </c>
      <c r="D64" t="n">
        <v>0.0326</v>
      </c>
      <c r="E64" t="inlineStr">
        <is>
          <t>Hz</t>
        </is>
      </c>
      <c r="G64" t="inlineStr">
        <is>
          <t>Nominal load 8 kW</t>
        </is>
      </c>
      <c r="H64" t="inlineStr">
        <is>
          <t>synthetic</t>
        </is>
      </c>
      <c r="I6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5">
      <c r="A65" t="inlineStr">
        <is>
          <t>2026-01-21T12:18:32</t>
        </is>
      </c>
      <c r="B65" t="inlineStr">
        <is>
          <t>T-003</t>
        </is>
      </c>
      <c r="C65" t="inlineStr">
        <is>
          <t>elc drift</t>
        </is>
      </c>
      <c r="D65" t="n">
        <v>0.06519999999999999</v>
      </c>
      <c r="E65" t="inlineStr">
        <is>
          <t>Hz</t>
        </is>
      </c>
      <c r="G65" t="inlineStr">
        <is>
          <t>Nominal load 8 kW</t>
        </is>
      </c>
      <c r="H65" t="inlineStr">
        <is>
          <t>synthetic</t>
        </is>
      </c>
      <c r="I6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6">
      <c r="A66" t="inlineStr">
        <is>
          <t>2026-01-21T12:22:32</t>
        </is>
      </c>
      <c r="B66" t="inlineStr">
        <is>
          <t>T-003</t>
        </is>
      </c>
      <c r="C66" t="inlineStr">
        <is>
          <t>elc drift</t>
        </is>
      </c>
      <c r="D66" t="n">
        <v>0.0495</v>
      </c>
      <c r="E66" t="inlineStr">
        <is>
          <t>Hz</t>
        </is>
      </c>
      <c r="G66" t="inlineStr">
        <is>
          <t>Nominal load 8 kW</t>
        </is>
      </c>
      <c r="H66" t="inlineStr">
        <is>
          <t>synthetic</t>
        </is>
      </c>
      <c r="I6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7">
      <c r="A67" t="inlineStr">
        <is>
          <t>2026-01-21T12:26:32</t>
        </is>
      </c>
      <c r="B67" t="inlineStr">
        <is>
          <t>T-003</t>
        </is>
      </c>
      <c r="C67" t="inlineStr">
        <is>
          <t>elc drift</t>
        </is>
      </c>
      <c r="D67" t="n">
        <v>0.1268</v>
      </c>
      <c r="E67" t="inlineStr">
        <is>
          <t>Hz</t>
        </is>
      </c>
      <c r="G67" t="inlineStr">
        <is>
          <t>Nominal load 8 kW</t>
        </is>
      </c>
      <c r="H67" t="inlineStr">
        <is>
          <t>synthetic</t>
        </is>
      </c>
      <c r="I6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8">
      <c r="A68" t="inlineStr">
        <is>
          <t>2026-01-21T12:30:32</t>
        </is>
      </c>
      <c r="B68" t="inlineStr">
        <is>
          <t>T-003</t>
        </is>
      </c>
      <c r="C68" t="inlineStr">
        <is>
          <t>elc drift</t>
        </is>
      </c>
      <c r="D68" t="n">
        <v>0.0643</v>
      </c>
      <c r="E68" t="inlineStr">
        <is>
          <t>Hz</t>
        </is>
      </c>
      <c r="G68" t="inlineStr">
        <is>
          <t>Nominal load 8 kW</t>
        </is>
      </c>
      <c r="H68" t="inlineStr">
        <is>
          <t>synthetic</t>
        </is>
      </c>
      <c r="I6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69">
      <c r="A69" t="inlineStr">
        <is>
          <t>2026-01-21T12:34:32</t>
        </is>
      </c>
      <c r="B69" t="inlineStr">
        <is>
          <t>T-003</t>
        </is>
      </c>
      <c r="C69" t="inlineStr">
        <is>
          <t>elc drift</t>
        </is>
      </c>
      <c r="D69" t="n">
        <v>0.1269</v>
      </c>
      <c r="E69" t="inlineStr">
        <is>
          <t>Hz</t>
        </is>
      </c>
      <c r="G69" t="inlineStr">
        <is>
          <t>Nominal load 8 kW</t>
        </is>
      </c>
      <c r="H69" t="inlineStr">
        <is>
          <t>synthetic</t>
        </is>
      </c>
      <c r="I6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6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0">
      <c r="A70" t="inlineStr">
        <is>
          <t>2026-01-21T12:38:32</t>
        </is>
      </c>
      <c r="B70" t="inlineStr">
        <is>
          <t>T-003</t>
        </is>
      </c>
      <c r="C70" t="inlineStr">
        <is>
          <t>elc drift</t>
        </is>
      </c>
      <c r="D70" t="n">
        <v>0.1633</v>
      </c>
      <c r="E70" t="inlineStr">
        <is>
          <t>Hz</t>
        </is>
      </c>
      <c r="G70" t="inlineStr">
        <is>
          <t>Nominal load 8 kW</t>
        </is>
      </c>
      <c r="H70" t="inlineStr">
        <is>
          <t>synthetic</t>
        </is>
      </c>
      <c r="I7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1">
      <c r="A71" t="inlineStr">
        <is>
          <t>2026-01-21T12:42:32</t>
        </is>
      </c>
      <c r="B71" t="inlineStr">
        <is>
          <t>T-003</t>
        </is>
      </c>
      <c r="C71" t="inlineStr">
        <is>
          <t>elc drift</t>
        </is>
      </c>
      <c r="D71" t="n">
        <v>0.081</v>
      </c>
      <c r="E71" t="inlineStr">
        <is>
          <t>Hz</t>
        </is>
      </c>
      <c r="G71" t="inlineStr">
        <is>
          <t>Nominal load 8 kW</t>
        </is>
      </c>
      <c r="H71" t="inlineStr">
        <is>
          <t>synthetic</t>
        </is>
      </c>
      <c r="I7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2">
      <c r="A72" t="inlineStr">
        <is>
          <t>2026-01-21T12:46:32</t>
        </is>
      </c>
      <c r="B72" t="inlineStr">
        <is>
          <t>T-003</t>
        </is>
      </c>
      <c r="C72" t="inlineStr">
        <is>
          <t>elc drift</t>
        </is>
      </c>
      <c r="D72" t="n">
        <v>0.0743</v>
      </c>
      <c r="E72" t="inlineStr">
        <is>
          <t>Hz</t>
        </is>
      </c>
      <c r="G72" t="inlineStr">
        <is>
          <t>Nominal load 8 kW</t>
        </is>
      </c>
      <c r="H72" t="inlineStr">
        <is>
          <t>synthetic</t>
        </is>
      </c>
      <c r="I7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3">
      <c r="A73" t="inlineStr">
        <is>
          <t>2026-01-21T12:50:32</t>
        </is>
      </c>
      <c r="B73" t="inlineStr">
        <is>
          <t>T-003</t>
        </is>
      </c>
      <c r="C73" t="inlineStr">
        <is>
          <t>elc drift</t>
        </is>
      </c>
      <c r="D73" t="n">
        <v>0.0675</v>
      </c>
      <c r="E73" t="inlineStr">
        <is>
          <t>Hz</t>
        </is>
      </c>
      <c r="G73" t="inlineStr">
        <is>
          <t>Nominal load 8 kW</t>
        </is>
      </c>
      <c r="H73" t="inlineStr">
        <is>
          <t>synthetic</t>
        </is>
      </c>
      <c r="I7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4">
      <c r="A74" t="inlineStr">
        <is>
          <t>2026-01-21T12:54:32</t>
        </is>
      </c>
      <c r="B74" t="inlineStr">
        <is>
          <t>T-003</t>
        </is>
      </c>
      <c r="C74" t="inlineStr">
        <is>
          <t>elc drift</t>
        </is>
      </c>
      <c r="D74" t="n">
        <v>0.0885</v>
      </c>
      <c r="E74" t="inlineStr">
        <is>
          <t>Hz</t>
        </is>
      </c>
      <c r="G74" t="inlineStr">
        <is>
          <t>Nominal load 8 kW</t>
        </is>
      </c>
      <c r="H74" t="inlineStr">
        <is>
          <t>synthetic</t>
        </is>
      </c>
      <c r="I7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5">
      <c r="A75" t="inlineStr">
        <is>
          <t>2026-01-21T12:58:32</t>
        </is>
      </c>
      <c r="B75" t="inlineStr">
        <is>
          <t>T-003</t>
        </is>
      </c>
      <c r="C75" t="inlineStr">
        <is>
          <t>elc drift</t>
        </is>
      </c>
      <c r="D75" t="n">
        <v>0.0431</v>
      </c>
      <c r="E75" t="inlineStr">
        <is>
          <t>Hz</t>
        </is>
      </c>
      <c r="G75" t="inlineStr">
        <is>
          <t>Nominal load 8 kW</t>
        </is>
      </c>
      <c r="H75" t="inlineStr">
        <is>
          <t>synthetic</t>
        </is>
      </c>
      <c r="I7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6">
      <c r="A76" t="inlineStr">
        <is>
          <t>2026-01-21T13:02:32</t>
        </is>
      </c>
      <c r="B76" t="inlineStr">
        <is>
          <t>T-003</t>
        </is>
      </c>
      <c r="C76" t="inlineStr">
        <is>
          <t>elc drift</t>
        </is>
      </c>
      <c r="D76" t="n">
        <v>0.07140000000000001</v>
      </c>
      <c r="E76" t="inlineStr">
        <is>
          <t>Hz</t>
        </is>
      </c>
      <c r="G76" t="inlineStr">
        <is>
          <t>Nominal load 8 kW</t>
        </is>
      </c>
      <c r="H76" t="inlineStr">
        <is>
          <t>synthetic</t>
        </is>
      </c>
      <c r="I7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7">
      <c r="A77" t="inlineStr">
        <is>
          <t>2026-01-21T13:06:32</t>
        </is>
      </c>
      <c r="B77" t="inlineStr">
        <is>
          <t>T-003</t>
        </is>
      </c>
      <c r="C77" t="inlineStr">
        <is>
          <t>elc drift</t>
        </is>
      </c>
      <c r="D77" t="n">
        <v>0.1112</v>
      </c>
      <c r="E77" t="inlineStr">
        <is>
          <t>Hz</t>
        </is>
      </c>
      <c r="G77" t="inlineStr">
        <is>
          <t>Nominal load 8 kW</t>
        </is>
      </c>
      <c r="H77" t="inlineStr">
        <is>
          <t>synthetic</t>
        </is>
      </c>
      <c r="I7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8">
      <c r="A78" t="inlineStr">
        <is>
          <t>2026-01-21T11:42:32</t>
        </is>
      </c>
      <c r="B78" t="inlineStr">
        <is>
          <t>T-004</t>
        </is>
      </c>
      <c r="C78" t="inlineStr">
        <is>
          <t>power</t>
        </is>
      </c>
      <c r="D78" t="n">
        <v>10.5077</v>
      </c>
      <c r="E78" t="inlineStr">
        <is>
          <t>kW</t>
        </is>
      </c>
      <c r="G78" t="inlineStr">
        <is>
          <t>Head=7.5m</t>
        </is>
      </c>
      <c r="H78" t="inlineStr">
        <is>
          <t>synthetic</t>
        </is>
      </c>
      <c r="I7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79">
      <c r="A79" t="inlineStr">
        <is>
          <t>2026-01-21T11:47:32</t>
        </is>
      </c>
      <c r="B79" t="inlineStr">
        <is>
          <t>T-004</t>
        </is>
      </c>
      <c r="C79" t="inlineStr">
        <is>
          <t>power</t>
        </is>
      </c>
      <c r="D79" t="n">
        <v>10.4139</v>
      </c>
      <c r="E79" t="inlineStr">
        <is>
          <t>kW</t>
        </is>
      </c>
      <c r="G79" t="inlineStr">
        <is>
          <t>Head=7.5m</t>
        </is>
      </c>
      <c r="H79" t="inlineStr">
        <is>
          <t>synthetic</t>
        </is>
      </c>
      <c r="I7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7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0">
      <c r="A80" t="inlineStr">
        <is>
          <t>2026-01-21T11:52:32</t>
        </is>
      </c>
      <c r="B80" t="inlineStr">
        <is>
          <t>T-004</t>
        </is>
      </c>
      <c r="C80" t="inlineStr">
        <is>
          <t>power</t>
        </is>
      </c>
      <c r="D80" t="n">
        <v>10.7961</v>
      </c>
      <c r="E80" t="inlineStr">
        <is>
          <t>kW</t>
        </is>
      </c>
      <c r="G80" t="inlineStr">
        <is>
          <t>Head=7.5m</t>
        </is>
      </c>
      <c r="H80" t="inlineStr">
        <is>
          <t>synthetic</t>
        </is>
      </c>
      <c r="I8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1">
      <c r="A81" t="inlineStr">
        <is>
          <t>2026-01-21T11:57:32</t>
        </is>
      </c>
      <c r="B81" t="inlineStr">
        <is>
          <t>T-004</t>
        </is>
      </c>
      <c r="C81" t="inlineStr">
        <is>
          <t>power</t>
        </is>
      </c>
      <c r="D81" t="n">
        <v>9.123799999999999</v>
      </c>
      <c r="E81" t="inlineStr">
        <is>
          <t>kW</t>
        </is>
      </c>
      <c r="G81" t="inlineStr">
        <is>
          <t>Head=7.5m</t>
        </is>
      </c>
      <c r="H81" t="inlineStr">
        <is>
          <t>synthetic</t>
        </is>
      </c>
      <c r="I8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2">
      <c r="A82" t="inlineStr">
        <is>
          <t>2026-01-21T12:02:32</t>
        </is>
      </c>
      <c r="B82" t="inlineStr">
        <is>
          <t>T-004</t>
        </is>
      </c>
      <c r="C82" t="inlineStr">
        <is>
          <t>power</t>
        </is>
      </c>
      <c r="D82" t="n">
        <v>11.0746</v>
      </c>
      <c r="E82" t="inlineStr">
        <is>
          <t>kW</t>
        </is>
      </c>
      <c r="G82" t="inlineStr">
        <is>
          <t>Head=7.5m</t>
        </is>
      </c>
      <c r="H82" t="inlineStr">
        <is>
          <t>synthetic</t>
        </is>
      </c>
      <c r="I8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3">
      <c r="A83" t="inlineStr">
        <is>
          <t>2026-01-21T12:07:32</t>
        </is>
      </c>
      <c r="B83" t="inlineStr">
        <is>
          <t>T-004</t>
        </is>
      </c>
      <c r="C83" t="inlineStr">
        <is>
          <t>power</t>
        </is>
      </c>
      <c r="D83" t="n">
        <v>10.5114</v>
      </c>
      <c r="E83" t="inlineStr">
        <is>
          <t>kW</t>
        </is>
      </c>
      <c r="G83" t="inlineStr">
        <is>
          <t>Head=7.5m</t>
        </is>
      </c>
      <c r="H83" t="inlineStr">
        <is>
          <t>synthetic</t>
        </is>
      </c>
      <c r="I8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4">
      <c r="A84" t="inlineStr">
        <is>
          <t>2026-01-21T12:12:32</t>
        </is>
      </c>
      <c r="B84" t="inlineStr">
        <is>
          <t>T-004</t>
        </is>
      </c>
      <c r="C84" t="inlineStr">
        <is>
          <t>power</t>
        </is>
      </c>
      <c r="D84" t="n">
        <v>11.8679</v>
      </c>
      <c r="E84" t="inlineStr">
        <is>
          <t>kW</t>
        </is>
      </c>
      <c r="G84" t="inlineStr">
        <is>
          <t>Head=7.5m</t>
        </is>
      </c>
      <c r="H84" t="inlineStr">
        <is>
          <t>synthetic</t>
        </is>
      </c>
      <c r="I8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5">
      <c r="A85" t="inlineStr">
        <is>
          <t>2026-01-21T12:17:32</t>
        </is>
      </c>
      <c r="B85" t="inlineStr">
        <is>
          <t>T-004</t>
        </is>
      </c>
      <c r="C85" t="inlineStr">
        <is>
          <t>power</t>
        </is>
      </c>
      <c r="D85" t="n">
        <v>10.5695</v>
      </c>
      <c r="E85" t="inlineStr">
        <is>
          <t>kW</t>
        </is>
      </c>
      <c r="G85" t="inlineStr">
        <is>
          <t>Head=7.5m</t>
        </is>
      </c>
      <c r="H85" t="inlineStr">
        <is>
          <t>synthetic</t>
        </is>
      </c>
      <c r="I8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6">
      <c r="A86" t="inlineStr">
        <is>
          <t>2026-01-21T12:22:32</t>
        </is>
      </c>
      <c r="B86" t="inlineStr">
        <is>
          <t>T-004</t>
        </is>
      </c>
      <c r="C86" t="inlineStr">
        <is>
          <t>power</t>
        </is>
      </c>
      <c r="D86" t="n">
        <v>12.6025</v>
      </c>
      <c r="E86" t="inlineStr">
        <is>
          <t>kW</t>
        </is>
      </c>
      <c r="G86" t="inlineStr">
        <is>
          <t>Head=7.5m</t>
        </is>
      </c>
      <c r="H86" t="inlineStr">
        <is>
          <t>synthetic</t>
        </is>
      </c>
      <c r="I8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7">
      <c r="A87" t="inlineStr">
        <is>
          <t>2026-01-21T12:27:32</t>
        </is>
      </c>
      <c r="B87" t="inlineStr">
        <is>
          <t>T-004</t>
        </is>
      </c>
      <c r="C87" t="inlineStr">
        <is>
          <t>power</t>
        </is>
      </c>
      <c r="D87" t="n">
        <v>10.7103</v>
      </c>
      <c r="E87" t="inlineStr">
        <is>
          <t>kW</t>
        </is>
      </c>
      <c r="G87" t="inlineStr">
        <is>
          <t>Head=7.5m</t>
        </is>
      </c>
      <c r="H87" t="inlineStr">
        <is>
          <t>synthetic</t>
        </is>
      </c>
      <c r="I8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8">
      <c r="A88" t="inlineStr">
        <is>
          <t>2026-01-21T12:32:32</t>
        </is>
      </c>
      <c r="B88" t="inlineStr">
        <is>
          <t>T-004</t>
        </is>
      </c>
      <c r="C88" t="inlineStr">
        <is>
          <t>power</t>
        </is>
      </c>
      <c r="D88" t="n">
        <v>11.4067</v>
      </c>
      <c r="E88" t="inlineStr">
        <is>
          <t>kW</t>
        </is>
      </c>
      <c r="G88" t="inlineStr">
        <is>
          <t>Head=7.5m</t>
        </is>
      </c>
      <c r="H88" t="inlineStr">
        <is>
          <t>synthetic</t>
        </is>
      </c>
      <c r="I8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89">
      <c r="A89" t="inlineStr">
        <is>
          <t>2026-01-21T12:37:32</t>
        </is>
      </c>
      <c r="B89" t="inlineStr">
        <is>
          <t>T-004</t>
        </is>
      </c>
      <c r="C89" t="inlineStr">
        <is>
          <t>power</t>
        </is>
      </c>
      <c r="D89" t="n">
        <v>12.8019</v>
      </c>
      <c r="E89" t="inlineStr">
        <is>
          <t>kW</t>
        </is>
      </c>
      <c r="G89" t="inlineStr">
        <is>
          <t>Head=7.5m</t>
        </is>
      </c>
      <c r="H89" t="inlineStr">
        <is>
          <t>synthetic</t>
        </is>
      </c>
      <c r="I8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8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0">
      <c r="A90" t="inlineStr">
        <is>
          <t>2026-01-21T12:42:32</t>
        </is>
      </c>
      <c r="B90" t="inlineStr">
        <is>
          <t>T-004</t>
        </is>
      </c>
      <c r="C90" t="inlineStr">
        <is>
          <t>power</t>
        </is>
      </c>
      <c r="D90" t="n">
        <v>12.8068</v>
      </c>
      <c r="E90" t="inlineStr">
        <is>
          <t>kW</t>
        </is>
      </c>
      <c r="G90" t="inlineStr">
        <is>
          <t>Head=7.5m</t>
        </is>
      </c>
      <c r="H90" t="inlineStr">
        <is>
          <t>synthetic</t>
        </is>
      </c>
      <c r="I9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1">
      <c r="A91" t="inlineStr">
        <is>
          <t>2026-01-21T12:47:32</t>
        </is>
      </c>
      <c r="B91" t="inlineStr">
        <is>
          <t>T-004</t>
        </is>
      </c>
      <c r="C91" t="inlineStr">
        <is>
          <t>power</t>
        </is>
      </c>
      <c r="D91" t="n">
        <v>10.1166</v>
      </c>
      <c r="E91" t="inlineStr">
        <is>
          <t>kW</t>
        </is>
      </c>
      <c r="G91" t="inlineStr">
        <is>
          <t>Head=7.5m</t>
        </is>
      </c>
      <c r="H91" t="inlineStr">
        <is>
          <t>synthetic</t>
        </is>
      </c>
      <c r="I9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2">
      <c r="A92" t="inlineStr">
        <is>
          <t>2026-01-21T12:52:32</t>
        </is>
      </c>
      <c r="B92" t="inlineStr">
        <is>
          <t>T-004</t>
        </is>
      </c>
      <c r="C92" t="inlineStr">
        <is>
          <t>power</t>
        </is>
      </c>
      <c r="D92" t="n">
        <v>11.2943</v>
      </c>
      <c r="E92" t="inlineStr">
        <is>
          <t>kW</t>
        </is>
      </c>
      <c r="G92" t="inlineStr">
        <is>
          <t>Head=7.5m</t>
        </is>
      </c>
      <c r="H92" t="inlineStr">
        <is>
          <t>synthetic</t>
        </is>
      </c>
      <c r="I92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2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3">
      <c r="A93" t="inlineStr">
        <is>
          <t>2026-01-21T12:57:32</t>
        </is>
      </c>
      <c r="B93" t="inlineStr">
        <is>
          <t>T-004</t>
        </is>
      </c>
      <c r="C93" t="inlineStr">
        <is>
          <t>power</t>
        </is>
      </c>
      <c r="D93" t="n">
        <v>10.3895</v>
      </c>
      <c r="E93" t="inlineStr">
        <is>
          <t>kW</t>
        </is>
      </c>
      <c r="G93" t="inlineStr">
        <is>
          <t>Head=7.5m</t>
        </is>
      </c>
      <c r="H93" t="inlineStr">
        <is>
          <t>synthetic</t>
        </is>
      </c>
      <c r="I93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3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4">
      <c r="A94" t="inlineStr">
        <is>
          <t>2026-01-21T13:02:32</t>
        </is>
      </c>
      <c r="B94" t="inlineStr">
        <is>
          <t>T-004</t>
        </is>
      </c>
      <c r="C94" t="inlineStr">
        <is>
          <t>power</t>
        </is>
      </c>
      <c r="D94" t="n">
        <v>11.3454</v>
      </c>
      <c r="E94" t="inlineStr">
        <is>
          <t>kW</t>
        </is>
      </c>
      <c r="G94" t="inlineStr">
        <is>
          <t>Head=7.5m</t>
        </is>
      </c>
      <c r="H94" t="inlineStr">
        <is>
          <t>synthetic</t>
        </is>
      </c>
      <c r="I94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4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5">
      <c r="A95" t="inlineStr">
        <is>
          <t>2026-01-21T13:07:32</t>
        </is>
      </c>
      <c r="B95" t="inlineStr">
        <is>
          <t>T-004</t>
        </is>
      </c>
      <c r="C95" t="inlineStr">
        <is>
          <t>power</t>
        </is>
      </c>
      <c r="D95" t="n">
        <v>10.5037</v>
      </c>
      <c r="E95" t="inlineStr">
        <is>
          <t>kW</t>
        </is>
      </c>
      <c r="G95" t="inlineStr">
        <is>
          <t>Head=7.5m</t>
        </is>
      </c>
      <c r="H95" t="inlineStr">
        <is>
          <t>synthetic</t>
        </is>
      </c>
      <c r="I95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5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6">
      <c r="A96" t="inlineStr">
        <is>
          <t>2026-01-21T13:12:32</t>
        </is>
      </c>
      <c r="B96" t="inlineStr">
        <is>
          <t>T-004</t>
        </is>
      </c>
      <c r="C96" t="inlineStr">
        <is>
          <t>power</t>
        </is>
      </c>
      <c r="D96" t="n">
        <v>12.3929</v>
      </c>
      <c r="E96" t="inlineStr">
        <is>
          <t>kW</t>
        </is>
      </c>
      <c r="G96" t="inlineStr">
        <is>
          <t>Head=7.5m</t>
        </is>
      </c>
      <c r="H96" t="inlineStr">
        <is>
          <t>synthetic</t>
        </is>
      </c>
      <c r="I96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6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7">
      <c r="A97" t="inlineStr">
        <is>
          <t>2026-01-21T13:17:32</t>
        </is>
      </c>
      <c r="B97" t="inlineStr">
        <is>
          <t>T-004</t>
        </is>
      </c>
      <c r="C97" t="inlineStr">
        <is>
          <t>power</t>
        </is>
      </c>
      <c r="D97" t="n">
        <v>11.4395</v>
      </c>
      <c r="E97" t="inlineStr">
        <is>
          <t>kW</t>
        </is>
      </c>
      <c r="G97" t="inlineStr">
        <is>
          <t>Head=7.5m</t>
        </is>
      </c>
      <c r="H97" t="inlineStr">
        <is>
          <t>synthetic</t>
        </is>
      </c>
      <c r="I97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7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8">
      <c r="A98" t="inlineStr">
        <is>
          <t>2026-01-21T13:22:32</t>
        </is>
      </c>
      <c r="B98" t="inlineStr">
        <is>
          <t>T-004</t>
        </is>
      </c>
      <c r="C98" t="inlineStr">
        <is>
          <t>power</t>
        </is>
      </c>
      <c r="D98" t="n">
        <v>9.2773</v>
      </c>
      <c r="E98" t="inlineStr">
        <is>
          <t>kW</t>
        </is>
      </c>
      <c r="G98" t="inlineStr">
        <is>
          <t>Head=7.5m</t>
        </is>
      </c>
      <c r="H98" t="inlineStr">
        <is>
          <t>synthetic</t>
        </is>
      </c>
      <c r="I98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8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99">
      <c r="A99" t="inlineStr">
        <is>
          <t>2026-01-21T13:27:32</t>
        </is>
      </c>
      <c r="B99" t="inlineStr">
        <is>
          <t>T-004</t>
        </is>
      </c>
      <c r="C99" t="inlineStr">
        <is>
          <t>power</t>
        </is>
      </c>
      <c r="D99" t="n">
        <v>10.5774</v>
      </c>
      <c r="E99" t="inlineStr">
        <is>
          <t>kW</t>
        </is>
      </c>
      <c r="G99" t="inlineStr">
        <is>
          <t>Head=7.5m</t>
        </is>
      </c>
      <c r="H99" t="inlineStr">
        <is>
          <t>synthetic</t>
        </is>
      </c>
      <c r="I99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99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00">
      <c r="A100" t="inlineStr">
        <is>
          <t>2026-01-21T13:32:32</t>
        </is>
      </c>
      <c r="B100" t="inlineStr">
        <is>
          <t>T-004</t>
        </is>
      </c>
      <c r="C100" t="inlineStr">
        <is>
          <t>power</t>
        </is>
      </c>
      <c r="D100" t="n">
        <v>11.8514</v>
      </c>
      <c r="E100" t="inlineStr">
        <is>
          <t>kW</t>
        </is>
      </c>
      <c r="G100" t="inlineStr">
        <is>
          <t>Head=7.5m</t>
        </is>
      </c>
      <c r="H100" t="inlineStr">
        <is>
          <t>synthetic</t>
        </is>
      </c>
      <c r="I100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00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  <row r="101">
      <c r="A101" t="inlineStr">
        <is>
          <t>2026-01-21T13:37:32</t>
        </is>
      </c>
      <c r="B101" t="inlineStr">
        <is>
          <t>T-004</t>
        </is>
      </c>
      <c r="C101" t="inlineStr">
        <is>
          <t>power</t>
        </is>
      </c>
      <c r="D101" t="n">
        <v>11.7057</v>
      </c>
      <c r="E101" t="inlineStr">
        <is>
          <t>kW</t>
        </is>
      </c>
      <c r="G101" t="inlineStr">
        <is>
          <t>Head=7.5m</t>
        </is>
      </c>
      <c r="H101" t="inlineStr">
        <is>
          <t>synthetic</t>
        </is>
      </c>
      <c r="I101">
        <f>IF(AND([@Test_ID]="T-001",ISNUMBER(SEARCH("coherence",LOWER([@Sensor]))),N([@Value])&gt;=0.9),TRUE,IF(AND([@Test_ID]="T-002",ISNUMBER(SEARCH("ripple",LOWER([@Sensor]))),N([@Baseline_Value])&gt;0,N([@Value])&lt;=N([@Baseline_Value])*0.70),TRUE,IF(AND([@Test_ID]="T-003",OR(ISNUMBER(SEARCH("elc",LOWER([@Sensor]))),ISNUMBER(SEARCH("stability",LOWER([@Sensor])))),N([@Value])&lt;=0.1),TRUE,IF(AND([@Test_ID]="T-004",ISNUMBER(SEARCH("power",LOWER([@Sensor]))),N([@Value])&gt;=10,N([@Value])&lt;=12),TRUE,IF(OR([@Test_ID]="",[@Sensor]="",[@Value]=""),"",FALSE)))))</f>
        <v/>
      </c>
      <c r="J101">
        <f>IF([@Test_ID]="T-001","Value&gt;=0.90 (coherence)",IF([@Test_ID]="T-002","Value&lt;=Baseline*0.70 (≥30% reduction)",IF([@Test_ID]="T-003","Value&lt;=0.1 Hz (ELC drift)",IF([@Test_ID]="T-004","10 kW &lt;= Value &lt;= 12 kW",""))))</f>
        <v/>
      </c>
    </row>
  </sheetData>
  <conditionalFormatting sqref="I2:I101">
    <cfRule type="expression" priority="1" dxfId="0">
      <formula>I2=TRUE</formula>
    </cfRule>
    <cfRule type="expression" priority="2" dxfId="1">
      <formula>I2=FALSE</formula>
    </cfRule>
  </conditionalFormatting>
  <dataValidations count="1">
    <dataValidation sqref="B2:B10000" showDropDown="0" showInputMessage="0" showErrorMessage="0" allowBlank="1" type="list">
      <formula1>"T-001,T-002,T-003,T-004"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MicroHydroV1 — Test Summary (Synthetic)</t>
        </is>
      </c>
    </row>
    <row r="3">
      <c r="A3" s="5" t="inlineStr">
        <is>
          <t>Summary by Test_ID</t>
        </is>
      </c>
    </row>
    <row r="4">
      <c r="A4" s="3" t="inlineStr">
        <is>
          <t>Test_ID</t>
        </is>
      </c>
      <c r="B4" s="3" t="inlineStr">
        <is>
          <t>Total</t>
        </is>
      </c>
      <c r="C4" s="3" t="inlineStr">
        <is>
          <t>Pass</t>
        </is>
      </c>
      <c r="D4" s="3" t="inlineStr">
        <is>
          <t>Fail</t>
        </is>
      </c>
    </row>
    <row r="5">
      <c r="A5" t="inlineStr">
        <is>
          <t>T-001</t>
        </is>
      </c>
      <c r="B5">
        <f>COUNTIF(Measurements!$B:$B,"T-001")</f>
        <v/>
      </c>
      <c r="C5">
        <f>COUNTIFS(Measurements!$B:$B,"T-001",Measurements!$I:$I,TRUE)</f>
        <v/>
      </c>
      <c r="D5">
        <f>MAX(B5-C5,0)</f>
        <v/>
      </c>
    </row>
    <row r="6">
      <c r="A6" t="inlineStr">
        <is>
          <t>T-002</t>
        </is>
      </c>
      <c r="B6">
        <f>COUNTIF(Measurements!$B:$B,"T-002")</f>
        <v/>
      </c>
      <c r="C6">
        <f>COUNTIFS(Measurements!$B:$B,"T-002",Measurements!$I:$I,TRUE)</f>
        <v/>
      </c>
      <c r="D6">
        <f>MAX(B6-C6,0)</f>
        <v/>
      </c>
    </row>
    <row r="7">
      <c r="A7" t="inlineStr">
        <is>
          <t>T-003</t>
        </is>
      </c>
      <c r="B7">
        <f>COUNTIF(Measurements!$B:$B,"T-003")</f>
        <v/>
      </c>
      <c r="C7">
        <f>COUNTIFS(Measurements!$B:$B,"T-003",Measurements!$I:$I,TRUE)</f>
        <v/>
      </c>
      <c r="D7">
        <f>MAX(B7-C7,0)</f>
        <v/>
      </c>
    </row>
    <row r="8">
      <c r="A8" t="inlineStr">
        <is>
          <t>T-004</t>
        </is>
      </c>
      <c r="B8">
        <f>COUNTIF(Measurements!$B:$B,"T-004")</f>
        <v/>
      </c>
      <c r="C8">
        <f>COUNTIFS(Measurements!$B:$B,"T-004",Measurements!$I:$I,TRUE)</f>
        <v/>
      </c>
      <c r="D8">
        <f>MAX(B8-C8,0)</f>
        <v/>
      </c>
    </row>
    <row r="9">
      <c r="A9" s="5" t="inlineStr">
        <is>
          <t>TOTAL</t>
        </is>
      </c>
      <c r="B9">
        <f>SUM(B5:B8)</f>
        <v/>
      </c>
      <c r="C9">
        <f>SUM(C5:C8)</f>
        <v/>
      </c>
      <c r="D9">
        <f>SUM(D5:D8)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D58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T-001 — Coherence vs Time</t>
        </is>
      </c>
    </row>
    <row r="4">
      <c r="A4" t="inlineStr">
        <is>
          <t>Timestamp</t>
        </is>
      </c>
      <c r="B4" t="inlineStr">
        <is>
          <t>Value</t>
        </is>
      </c>
    </row>
    <row r="5">
      <c r="A5">
        <f>FILTER(Measurements[Timestamp],=(Measurements[Test_ID]="T-001")*(ISNUMBER(SEARCH("coherence",LOWER(Measurements[Sensor])))),"")</f>
        <v/>
      </c>
      <c r="B5">
        <f>FILTER(Measurements[Value],=(Measurements[Test_ID]="T-001")*(ISNUMBER(SEARCH("coherence",LOWER(Measurements[Sensor])))),"")</f>
        <v/>
      </c>
    </row>
    <row r="20">
      <c r="A20" s="5" t="inlineStr">
        <is>
          <t>T-002 — Ripple vs Time (with 70% Threshold)</t>
        </is>
      </c>
    </row>
    <row r="22">
      <c r="A22" t="inlineStr">
        <is>
          <t>Timestamp</t>
        </is>
      </c>
      <c r="B22" t="inlineStr">
        <is>
          <t>Value</t>
        </is>
      </c>
      <c r="C22" t="inlineStr">
        <is>
          <t>Baseline</t>
        </is>
      </c>
      <c r="D22" t="inlineStr">
        <is>
          <t>Threshold_70%</t>
        </is>
      </c>
    </row>
    <row r="23">
      <c r="A23">
        <f>FILTER(Measurements[Timestamp],=(Measurements[Test_ID]="T-002")*(ISNUMBER(SEARCH("ripple",LOWER(Measurements[Sensor])))),"")</f>
        <v/>
      </c>
      <c r="B23">
        <f>FILTER(Measurements[Value],=(Measurements[Test_ID]="T-002")*(ISNUMBER(SEARCH("ripple",LOWER(Measurements[Sensor])))),"")</f>
        <v/>
      </c>
      <c r="C23">
        <f>FILTER(Measurements[Baseline_Value],=(Measurements[Test_ID]="T-002")*(ISNUMBER(SEARCH("ripple",LOWER(Measurements[Sensor])))),"")</f>
        <v/>
      </c>
      <c r="D23">
        <f>IF(C23#="","",C23#*0.70)</f>
        <v/>
      </c>
    </row>
    <row r="38">
      <c r="A38" t="inlineStr">
        <is>
          <t>T-003 — ELC Drift vs Time</t>
        </is>
      </c>
    </row>
    <row r="39">
      <c r="A39" t="inlineStr">
        <is>
          <t>Timestamp</t>
        </is>
      </c>
      <c r="B39" t="inlineStr">
        <is>
          <t>Value (Hz)</t>
        </is>
      </c>
    </row>
    <row r="40">
      <c r="A40">
        <f>FILTER(Measurements[Timestamp],=(Measurements[Test_ID]="T-003")*(OR(ISNUMBER(SEARCH("elc",LOWER(Measurements[Sensor]))),ISNUMBER(SEARCH("stability",LOWER(Measurements[Sensor]))))),"")</f>
        <v/>
      </c>
      <c r="B40">
        <f>FILTER(Measurements[Value],=(Measurements[Test_ID]="T-003")*(OR(ISNUMBER(SEARCH("elc",LOWER(Measurements[Sensor]))),ISNUMBER(SEARCH("stability",LOWER(Measurements[Sensor]))))),"")</f>
        <v/>
      </c>
    </row>
    <row r="56">
      <c r="A56" t="inlineStr">
        <is>
          <t>T-004 — Power Output vs Time (10–12 kW band)</t>
        </is>
      </c>
    </row>
    <row r="57">
      <c r="A57" t="inlineStr">
        <is>
          <t>Timestamp</t>
        </is>
      </c>
      <c r="B57" t="inlineStr">
        <is>
          <t>Power (kW)</t>
        </is>
      </c>
      <c r="C57" t="inlineStr">
        <is>
          <t>Lower</t>
        </is>
      </c>
      <c r="D57" t="inlineStr">
        <is>
          <t>Upper</t>
        </is>
      </c>
    </row>
    <row r="58">
      <c r="A58">
        <f>FILTER(Measurements[Timestamp],=(Measurements[Test_ID]="T-004")*(ISNUMBER(SEARCH("power",LOWER(Measurements[Sensor])))),"")</f>
        <v/>
      </c>
      <c r="B58">
        <f>FILTER(Measurements[Value],=(Measurements[Test_ID]="T-004")*(ISNUMBER(SEARCH("power",LOWER(Measurements[Sensor])))),"")</f>
        <v/>
      </c>
      <c r="C58">
        <f>IF(B58#="","",10)</f>
        <v/>
      </c>
      <c r="D58">
        <f>IF(B58#="","",12)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2026-01-21T11:42:32Z</dcterms:created>
  <dcterms:modified xmlns:dcterms="http://purl.org/dc/terms/" xmlns:xsi="http://www.w3.org/2001/XMLSchema-instance" xsi:type="dcterms:W3CDTF">2026-01-21T11:42:32Z</dcterms:modified>
</cp:coreProperties>
</file>