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ables_A-D" sheetId="1" state="visible" r:id="rId1"/>
    <sheet xmlns:r="http://schemas.openxmlformats.org/officeDocument/2006/relationships" name="Stages" sheetId="2" state="visible" r:id="rId2"/>
    <sheet xmlns:r="http://schemas.openxmlformats.org/officeDocument/2006/relationships" name="Artifacts" sheetId="3" state="visible" r:id="rId3"/>
    <sheet xmlns:r="http://schemas.openxmlformats.org/officeDocument/2006/relationships" name="Acceptance_Criteria" sheetId="4" state="visible" r:id="rId4"/>
    <sheet xmlns:r="http://schemas.openxmlformats.org/officeDocument/2006/relationships" name="Sections" sheetId="5" state="visible" r:id="rId5"/>
    <sheet xmlns:r="http://schemas.openxmlformats.org/officeDocument/2006/relationships" name="Tests" sheetId="6" state="visible" r:id="rId6"/>
    <sheet xmlns:r="http://schemas.openxmlformats.org/officeDocument/2006/relationships" name="Measurement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Tren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Pass Counts by Test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Test_ID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T-003 ELC Drift (Hz)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'Trends'!B39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'Trends'!$A$40:$A$10000</f>
            </numRef>
          </cat>
          <val>
            <numRef>
              <f>'Trends'!$B$40:$B$10000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Timestamp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Hz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T-004 Power (kW) with 10–12 Band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'Trends'!B57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'Trends'!$A$58:$A$10000</f>
            </numRef>
          </cat>
          <val>
            <numRef>
              <f>'Trends'!$B$58:$B$10000</f>
            </numRef>
          </val>
        </ser>
        <ser>
          <idx val="1"/>
          <order val="1"/>
          <tx>
            <strRef>
              <f>'Trends'!C57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'Trends'!$A$58:$A$10000</f>
            </numRef>
          </cat>
          <val>
            <numRef>
              <f>'Trends'!$C$58:$C$10000</f>
            </numRef>
          </val>
        </ser>
        <ser>
          <idx val="2"/>
          <order val="2"/>
          <tx>
            <strRef>
              <f>'Trends'!D57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'Trends'!$A$58:$A$10000</f>
            </numRef>
          </cat>
          <val>
            <numRef>
              <f>'Trends'!$D$58:$D$10000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Timestamp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37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55</row>
      <rowOff>0</rowOff>
    </from>
    <ext cx="86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</t>
        </is>
      </c>
      <c r="B1" s="1" t="inlineStr">
        <is>
          <t>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Status</t>
        </is>
      </c>
      <c r="C1" s="1" t="inlineStr">
        <is>
          <t>Details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Stage</t>
        </is>
      </c>
      <c r="C1" s="1" t="inlineStr">
        <is>
          <t>Status</t>
        </is>
      </c>
      <c r="D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</row>
    <row r="2">
      <c r="A2" t="inlineStr">
        <is>
          <t>Jet coherence ≥ 0.90</t>
        </is>
      </c>
    </row>
    <row r="3">
      <c r="A3" t="inlineStr">
        <is>
          <t>Ripple amplitude −30–50% vs straight inlet; no entrainment increase</t>
        </is>
      </c>
    </row>
    <row r="4">
      <c r="A4" t="inlineStr">
        <is>
          <t>ELC drift ≤ 0.1 Hz; no hunting</t>
        </is>
      </c>
    </row>
    <row r="5">
      <c r="A5" t="inlineStr">
        <is>
          <t>Power 10–12 kW window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Title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Name</t>
        </is>
      </c>
      <c r="C1" s="1" t="inlineStr">
        <is>
          <t>Objective</t>
        </is>
      </c>
      <c r="D1" s="1" t="inlineStr">
        <is>
          <t>Setup</t>
        </is>
      </c>
      <c r="E1" s="1" t="inlineStr">
        <is>
          <t>Parameters</t>
        </is>
      </c>
      <c r="F1" s="1" t="inlineStr">
        <is>
          <t>Instruments</t>
        </is>
      </c>
      <c r="G1" s="1" t="inlineStr">
        <is>
          <t>Acceptance_Criteria</t>
        </is>
      </c>
      <c r="H1" s="1" t="inlineStr">
        <is>
          <t>Status</t>
        </is>
      </c>
      <c r="I1" s="1" t="inlineStr">
        <is>
          <t>Stage</t>
        </is>
      </c>
      <c r="J1" s="1" t="inlineStr">
        <is>
          <t>Linked_Artifacts</t>
        </is>
      </c>
    </row>
    <row r="2">
      <c r="A2" t="inlineStr">
        <is>
          <t>T-001</t>
        </is>
      </c>
      <c r="B2" t="inlineStr">
        <is>
          <t>Jet_Coherence_Test</t>
        </is>
      </c>
      <c r="C2" t="inlineStr">
        <is>
          <t>Assess jet coherence; ensure coherent jet meets threshold.</t>
        </is>
      </c>
      <c r="D2" t="inlineStr">
        <is>
          <t>Bench Test Pack; imaging config</t>
        </is>
      </c>
      <c r="F2" t="inlineStr">
        <is>
          <t>Imaging setup (per imaging config).</t>
        </is>
      </c>
      <c r="G2" t="inlineStr">
        <is>
          <t>Jet coherence ≥ 0.90</t>
        </is>
      </c>
      <c r="H2" t="inlineStr">
        <is>
          <t>Defined</t>
        </is>
      </c>
      <c r="I2" t="inlineStr">
        <is>
          <t>B</t>
        </is>
      </c>
      <c r="J2" t="inlineStr">
        <is>
          <t>Procedure; Datasheet; Imaging config</t>
        </is>
      </c>
    </row>
    <row r="3">
      <c r="A3" t="inlineStr">
        <is>
          <t>T-002</t>
        </is>
      </c>
      <c r="B3" t="inlineStr">
        <is>
          <t>Tank_Ripple_Test</t>
        </is>
      </c>
      <c r="C3" t="inlineStr">
        <is>
          <t>Measure tank ripple amplitude reduction vs straight inlet; verify no entrainment increase.</t>
        </is>
      </c>
      <c r="D3" t="inlineStr">
        <is>
          <t>Bench Test Pack; PT mounting sketch</t>
        </is>
      </c>
      <c r="F3" t="inlineStr">
        <is>
          <t>Pressure transducer (PT).</t>
        </is>
      </c>
      <c r="G3" t="inlineStr">
        <is>
          <t>Ripple amplitude −30–50% vs straight inlet; no entrainment increase</t>
        </is>
      </c>
      <c r="H3" t="inlineStr">
        <is>
          <t>Defined</t>
        </is>
      </c>
      <c r="I3" t="inlineStr">
        <is>
          <t>B</t>
        </is>
      </c>
      <c r="J3" t="inlineStr">
        <is>
          <t>Procedure; Datasheet; PT mounting sketch</t>
        </is>
      </c>
    </row>
    <row r="4">
      <c r="A4" t="inlineStr">
        <is>
          <t>T-003</t>
        </is>
      </c>
      <c r="B4" t="inlineStr">
        <is>
          <t>Electrical_Stability</t>
        </is>
      </c>
      <c r="C4" t="inlineStr">
        <is>
          <t>Verify ELC drift ≤ 0.1 Hz with no hunting</t>
        </is>
      </c>
      <c r="D4" t="inlineStr">
        <is>
          <t>Generator + ELC narrow window; nominal load</t>
        </is>
      </c>
      <c r="F4" t="inlineStr">
        <is>
          <t>ELC + scope/logger</t>
        </is>
      </c>
      <c r="G4" t="inlineStr">
        <is>
          <t>ELC drift ≤ 0.1 Hz; no hunting</t>
        </is>
      </c>
      <c r="H4" t="inlineStr">
        <is>
          <t>Defined</t>
        </is>
      </c>
      <c r="I4" t="inlineStr">
        <is>
          <t>C</t>
        </is>
      </c>
      <c r="J4" t="inlineStr">
        <is>
          <t>Procedure; Logger config</t>
        </is>
      </c>
    </row>
    <row r="5">
      <c r="A5" t="inlineStr">
        <is>
          <t>T-004</t>
        </is>
      </c>
      <c r="B5" t="inlineStr">
        <is>
          <t>Power_Output</t>
        </is>
      </c>
      <c r="C5" t="inlineStr">
        <is>
          <t>Confirm power within 10–12 kW at operating head</t>
        </is>
      </c>
      <c r="D5" t="inlineStr">
        <is>
          <t>Turbine+generator; calibrated meters</t>
        </is>
      </c>
      <c r="F5" t="inlineStr">
        <is>
          <t>Wattmeter + V/I sensors</t>
        </is>
      </c>
      <c r="G5" t="inlineStr">
        <is>
          <t>Power between 10 and 12 kW</t>
        </is>
      </c>
      <c r="H5" t="inlineStr">
        <is>
          <t>Defined</t>
        </is>
      </c>
      <c r="I5" t="inlineStr">
        <is>
          <t>C</t>
        </is>
      </c>
      <c r="J5" t="inlineStr">
        <is>
          <t>Procedure; Datasheet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Test_ID</t>
        </is>
      </c>
      <c r="C1" s="1" t="inlineStr">
        <is>
          <t>Sensor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Baseline_Value</t>
        </is>
      </c>
      <c r="G1" s="1" t="inlineStr">
        <is>
          <t>Conditions</t>
        </is>
      </c>
      <c r="H1" s="1" t="inlineStr">
        <is>
          <t>Notes</t>
        </is>
      </c>
      <c r="I1" s="1" t="inlineStr">
        <is>
          <t>Pass</t>
        </is>
      </c>
      <c r="J1" s="1" t="inlineStr">
        <is>
          <t>Rule_Eval</t>
        </is>
      </c>
    </row>
    <row r="2">
      <c r="I2">
        <f>IF(AND($B2="T-001",ISNUMBER(SEARCH("coherence",LOWER($C2))),N($D2)&gt;=0.9),TRUE,IF(AND($B2="T-002",ISNUMBER(SEARCH("ripple",LOWER($C2))),N($E2)&gt;0,N($D2)&lt;=N($E2)*0.70),TRUE,IF(AND($B2="T-003",OR(ISNUMBER(SEARCH("elc",LOWER($C2))),ISNUMBER(SEARCH("stability",LOWER($C2)))),N($D2)&lt;=0.1),TRUE,IF(AND($B2="T-004",ISNUMBER(SEARCH("power",LOWER($C2))),N($D2)&gt;=10,N($D2)&lt;=12),TRUE,IF(OR($B2="",$C2="",$D2=""),"",FALSE)))))</f>
        <v/>
      </c>
      <c r="J2">
        <f>IF($B2="T-001","Value&gt;=0.90 (coherence)",IF($B2="T-002","Value&lt;=Baseline*0.70 (≥30% reduction)",IF($B2="T-003","Value&lt;=0.1 Hz (ELC drift)",IF($B2="T-004","10 kW &lt;= Value &lt;= 12 kW",""))))</f>
        <v/>
      </c>
    </row>
  </sheetData>
  <dataValidations count="1">
    <dataValidation sqref="B2:B10000" showDropDown="0" showInputMessage="0" showErrorMessage="0" allowBlank="1" type="list">
      <formula1>"T-001,T-002,T-003,T-004"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MicroHydroV1 — Test Summary</t>
        </is>
      </c>
    </row>
    <row r="3">
      <c r="A3" s="3" t="inlineStr">
        <is>
          <t>Summary by Test_ID</t>
        </is>
      </c>
    </row>
    <row r="4">
      <c r="A4" s="4" t="inlineStr">
        <is>
          <t>Test_ID</t>
        </is>
      </c>
      <c r="B4" s="4" t="inlineStr">
        <is>
          <t>Total</t>
        </is>
      </c>
      <c r="C4" s="4" t="inlineStr">
        <is>
          <t>Pass</t>
        </is>
      </c>
      <c r="D4" s="4" t="inlineStr">
        <is>
          <t>Fail</t>
        </is>
      </c>
    </row>
    <row r="5">
      <c r="A5" t="inlineStr">
        <is>
          <t>T-001</t>
        </is>
      </c>
      <c r="B5">
        <f>COUNTIF(Measurements!$B:$B,"T-001")</f>
        <v/>
      </c>
      <c r="C5">
        <f>COUNTIFS(Measurements!$B:$B,"T-001",Measurements!$I:$I,TRUE)</f>
        <v/>
      </c>
      <c r="D5">
        <f>MAX(B5-C5,0)</f>
        <v/>
      </c>
    </row>
    <row r="6">
      <c r="A6" t="inlineStr">
        <is>
          <t>T-002</t>
        </is>
      </c>
      <c r="B6">
        <f>COUNTIF(Measurements!$B:$B,"T-002")</f>
        <v/>
      </c>
      <c r="C6">
        <f>COUNTIFS(Measurements!$B:$B,"T-002",Measurements!$I:$I,TRUE)</f>
        <v/>
      </c>
      <c r="D6">
        <f>MAX(B6-C6,0)</f>
        <v/>
      </c>
    </row>
    <row r="7">
      <c r="A7" t="inlineStr">
        <is>
          <t>T-003</t>
        </is>
      </c>
      <c r="B7">
        <f>COUNTIF(Measurements!$B:$B,"T-003")</f>
        <v/>
      </c>
      <c r="C7">
        <f>COUNTIFS(Measurements!$B:$B,"T-003",Measurements!$I:$I,TRUE)</f>
        <v/>
      </c>
      <c r="D7">
        <f>MAX(B7-C7,0)</f>
        <v/>
      </c>
    </row>
    <row r="8">
      <c r="A8" t="inlineStr">
        <is>
          <t>T-004</t>
        </is>
      </c>
      <c r="B8">
        <f>COUNTIF(Measurements!$B:$B,"T-004")</f>
        <v/>
      </c>
      <c r="C8">
        <f>COUNTIFS(Measurements!$B:$B,"T-004",Measurements!$I:$I,TRUE)</f>
        <v/>
      </c>
      <c r="D8">
        <f>MAX(B8-C8,0)</f>
        <v/>
      </c>
    </row>
    <row r="9">
      <c r="A9" s="3" t="inlineStr">
        <is>
          <t>TOTAL</t>
        </is>
      </c>
      <c r="B9">
        <f>SUM(B5:B8)</f>
        <v/>
      </c>
      <c r="C9">
        <f>SUM(C5:C8)</f>
        <v/>
      </c>
      <c r="D9">
        <f>SUM(D5:D8)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38:D58"/>
  <sheetViews>
    <sheetView workbookViewId="0">
      <selection activeCell="A1" sqref="A1"/>
    </sheetView>
  </sheetViews>
  <sheetFormatPr baseColWidth="8" defaultRowHeight="15"/>
  <sheetData>
    <row r="38">
      <c r="A38" t="inlineStr">
        <is>
          <t>T-003 — ELC Drift vs Time</t>
        </is>
      </c>
    </row>
    <row r="39">
      <c r="A39" t="inlineStr">
        <is>
          <t>Timestamp</t>
        </is>
      </c>
      <c r="B39" t="inlineStr">
        <is>
          <t>Value (Hz)</t>
        </is>
      </c>
    </row>
    <row r="40">
      <c r="A40">
        <f>FILTER(Measurements[Timestamp],=(Measurements[Test_ID]="T-003")*(OR(ISNUMBER(SEARCH("elc",LOWER(Measurements[Sensor]))),ISNUMBER(SEARCH("stability",LOWER(Measurements[Sensor]))))),"")</f>
        <v/>
      </c>
      <c r="B40">
        <f>FILTER(Measurements[Value],=(Measurements[Test_ID]="T-003")*(OR(ISNUMBER(SEARCH("elc",LOWER(Measurements[Sensor]))),ISNUMBER(SEARCH("stability",LOWER(Measurements[Sensor]))))),"")</f>
        <v/>
      </c>
    </row>
    <row r="56">
      <c r="A56" t="inlineStr">
        <is>
          <t>T-004 — Power Output vs Time (10–12 kW band)</t>
        </is>
      </c>
    </row>
    <row r="57">
      <c r="A57" t="inlineStr">
        <is>
          <t>Timestamp</t>
        </is>
      </c>
      <c r="B57" t="inlineStr">
        <is>
          <t>Power (kW)</t>
        </is>
      </c>
      <c r="C57" t="inlineStr">
        <is>
          <t>Lower</t>
        </is>
      </c>
      <c r="D57" t="inlineStr">
        <is>
          <t>Upper</t>
        </is>
      </c>
    </row>
    <row r="58">
      <c r="A58">
        <f>FILTER(Measurements[Timestamp],=(Measurements[Test_ID]="T-004")*(ISNUMBER(SEARCH("power",LOWER(Measurements[Sensor])))),"")</f>
        <v/>
      </c>
      <c r="B58">
        <f>FILTER(Measurements[Value],=(Measurements[Test_ID]="T-004")*(ISNUMBER(SEARCH("power",LOWER(Measurements[Sensor])))),"")</f>
        <v/>
      </c>
      <c r="C58">
        <f>IF(B58#="","",10)</f>
        <v/>
      </c>
      <c r="D58">
        <f>IF(B58#="","",12)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2026-01-21T11:11:37Z</dcterms:created>
  <dcterms:modified xmlns:dcterms="http://purl.org/dc/terms/" xmlns:xsi="http://www.w3.org/2001/XMLSchema-instance" xsi:type="dcterms:W3CDTF">2026-01-21T11:11:37Z</dcterms:modified>
</cp:coreProperties>
</file>