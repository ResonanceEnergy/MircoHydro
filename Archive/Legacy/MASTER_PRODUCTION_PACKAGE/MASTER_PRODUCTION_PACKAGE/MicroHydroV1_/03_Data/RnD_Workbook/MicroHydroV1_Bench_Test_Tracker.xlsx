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Entries per Test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'Dashboard'!$D$4:$D$5</f>
            </numRef>
          </cat>
          <val>
            <numRef>
              <f>'Dashboard'!$E$4:$E$5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s" displayName="Tests" ref="A1:H101" headerRowCount="1">
  <autoFilter ref="A1:H101"/>
  <tableColumns count="8">
    <tableColumn id="1" name="Test_ID"/>
    <tableColumn id="2" name="Name"/>
    <tableColumn id="3" name="Units"/>
    <tableColumn id="4" name="Method"/>
    <tableColumn id="5" name="Status"/>
    <tableColumn id="6" name="Result"/>
    <tableColumn id="7" name="Date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riteria" displayName="Criteria" ref="A1:E3" headerRowCount="1">
  <autoFilter ref="A1:E3"/>
  <tableColumns count="5">
    <tableColumn id="1" name="Test_ID"/>
    <tableColumn id="2" name="Lower_Limit"/>
    <tableColumn id="3" name="Upper_Limit"/>
    <tableColumn id="4" name="Units"/>
    <tableColumn id="5" name="Metho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8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2" t="inlineStr">
        <is>
          <t>Units</t>
        </is>
      </c>
      <c r="D1" s="2" t="inlineStr">
        <is>
          <t>Method</t>
        </is>
      </c>
      <c r="E1" s="2" t="inlineStr">
        <is>
          <t>Status</t>
        </is>
      </c>
      <c r="F1" s="1" t="inlineStr">
        <is>
          <t>Result</t>
        </is>
      </c>
      <c r="G1" s="1" t="inlineStr">
        <is>
          <t>Date</t>
        </is>
      </c>
      <c r="H1" s="1" t="inlineStr">
        <is>
          <t>Notes</t>
        </is>
      </c>
    </row>
    <row r="2">
      <c r="A2" s="3" t="inlineStr">
        <is>
          <t>T‑001</t>
        </is>
      </c>
      <c r="B2" s="3" t="inlineStr">
        <is>
          <t>Jet Coherence</t>
        </is>
      </c>
      <c r="C2">
        <f>IFERROR(XLOOKUP([@Test_ID],Criteria[Test_ID],Criteria[Units],""),"")</f>
        <v/>
      </c>
      <c r="D2">
        <f>IFERROR(XLOOKUP([@Test_ID],Criteria[Test_ID],Criteria[Method],""),"")</f>
        <v/>
      </c>
      <c r="E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" s="3" t="n"/>
      <c r="G2" s="4" t="n"/>
      <c r="H2" s="3" t="n"/>
    </row>
    <row r="3">
      <c r="A3" s="3" t="inlineStr">
        <is>
          <t>T‑002</t>
        </is>
      </c>
      <c r="B3" s="3" t="inlineStr">
        <is>
          <t>Tank Ripple</t>
        </is>
      </c>
      <c r="C3">
        <f>IFERROR(XLOOKUP([@Test_ID],Criteria[Test_ID],Criteria[Units],""),"")</f>
        <v/>
      </c>
      <c r="D3">
        <f>IFERROR(XLOOKUP([@Test_ID],Criteria[Test_ID],Criteria[Method],""),"")</f>
        <v/>
      </c>
      <c r="E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" s="3" t="n"/>
      <c r="G3" s="4" t="n"/>
      <c r="H3" s="3" t="n"/>
    </row>
    <row r="4">
      <c r="A4" s="3" t="n"/>
      <c r="B4" s="3" t="n"/>
      <c r="C4">
        <f>IFERROR(XLOOKUP([@Test_ID],Criteria[Test_ID],Criteria[Units],""),"")</f>
        <v/>
      </c>
      <c r="D4">
        <f>IFERROR(XLOOKUP([@Test_ID],Criteria[Test_ID],Criteria[Method],""),"")</f>
        <v/>
      </c>
      <c r="E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" s="3" t="n"/>
      <c r="G4" s="4" t="n"/>
      <c r="H4" s="3" t="n"/>
    </row>
    <row r="5">
      <c r="A5" s="3" t="n"/>
      <c r="B5" s="3" t="n"/>
      <c r="C5">
        <f>IFERROR(XLOOKUP([@Test_ID],Criteria[Test_ID],Criteria[Units],""),"")</f>
        <v/>
      </c>
      <c r="D5">
        <f>IFERROR(XLOOKUP([@Test_ID],Criteria[Test_ID],Criteria[Method],""),"")</f>
        <v/>
      </c>
      <c r="E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" s="3" t="n"/>
      <c r="G5" s="4" t="n"/>
      <c r="H5" s="3" t="n"/>
    </row>
    <row r="6">
      <c r="A6" s="3" t="n"/>
      <c r="B6" s="3" t="n"/>
      <c r="C6">
        <f>IFERROR(XLOOKUP([@Test_ID],Criteria[Test_ID],Criteria[Units],""),"")</f>
        <v/>
      </c>
      <c r="D6">
        <f>IFERROR(XLOOKUP([@Test_ID],Criteria[Test_ID],Criteria[Method],""),"")</f>
        <v/>
      </c>
      <c r="E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" s="3" t="n"/>
      <c r="G6" s="4" t="n"/>
      <c r="H6" s="3" t="n"/>
    </row>
    <row r="7">
      <c r="A7" s="3" t="n"/>
      <c r="B7" s="3" t="n"/>
      <c r="C7">
        <f>IFERROR(XLOOKUP([@Test_ID],Criteria[Test_ID],Criteria[Units],""),"")</f>
        <v/>
      </c>
      <c r="D7">
        <f>IFERROR(XLOOKUP([@Test_ID],Criteria[Test_ID],Criteria[Method],""),"")</f>
        <v/>
      </c>
      <c r="E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" s="3" t="n"/>
      <c r="G7" s="4" t="n"/>
      <c r="H7" s="3" t="n"/>
    </row>
    <row r="8">
      <c r="A8" s="3" t="n"/>
      <c r="B8" s="3" t="n"/>
      <c r="C8">
        <f>IFERROR(XLOOKUP([@Test_ID],Criteria[Test_ID],Criteria[Units],""),"")</f>
        <v/>
      </c>
      <c r="D8">
        <f>IFERROR(XLOOKUP([@Test_ID],Criteria[Test_ID],Criteria[Method],""),"")</f>
        <v/>
      </c>
      <c r="E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" s="3" t="n"/>
      <c r="G8" s="4" t="n"/>
      <c r="H8" s="3" t="n"/>
    </row>
    <row r="9">
      <c r="A9" s="3" t="n"/>
      <c r="B9" s="3" t="n"/>
      <c r="C9">
        <f>IFERROR(XLOOKUP([@Test_ID],Criteria[Test_ID],Criteria[Units],""),"")</f>
        <v/>
      </c>
      <c r="D9">
        <f>IFERROR(XLOOKUP([@Test_ID],Criteria[Test_ID],Criteria[Method],""),"")</f>
        <v/>
      </c>
      <c r="E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" s="3" t="n"/>
      <c r="G9" s="4" t="n"/>
      <c r="H9" s="3" t="n"/>
    </row>
    <row r="10">
      <c r="A10" s="3" t="n"/>
      <c r="B10" s="3" t="n"/>
      <c r="C10">
        <f>IFERROR(XLOOKUP([@Test_ID],Criteria[Test_ID],Criteria[Units],""),"")</f>
        <v/>
      </c>
      <c r="D10">
        <f>IFERROR(XLOOKUP([@Test_ID],Criteria[Test_ID],Criteria[Method],""),"")</f>
        <v/>
      </c>
      <c r="E1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0" s="3" t="n"/>
      <c r="G10" s="4" t="n"/>
      <c r="H10" s="3" t="n"/>
    </row>
    <row r="11">
      <c r="A11" s="3" t="n"/>
      <c r="B11" s="3" t="n"/>
      <c r="C11">
        <f>IFERROR(XLOOKUP([@Test_ID],Criteria[Test_ID],Criteria[Units],""),"")</f>
        <v/>
      </c>
      <c r="D11">
        <f>IFERROR(XLOOKUP([@Test_ID],Criteria[Test_ID],Criteria[Method],""),"")</f>
        <v/>
      </c>
      <c r="E1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1" s="3" t="n"/>
      <c r="G11" s="4" t="n"/>
      <c r="H11" s="3" t="n"/>
    </row>
    <row r="12">
      <c r="A12" s="3" t="n"/>
      <c r="B12" s="3" t="n"/>
      <c r="C12">
        <f>IFERROR(XLOOKUP([@Test_ID],Criteria[Test_ID],Criteria[Units],""),"")</f>
        <v/>
      </c>
      <c r="D12">
        <f>IFERROR(XLOOKUP([@Test_ID],Criteria[Test_ID],Criteria[Method],""),"")</f>
        <v/>
      </c>
      <c r="E1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2" s="3" t="n"/>
      <c r="G12" s="4" t="n"/>
      <c r="H12" s="3" t="n"/>
    </row>
    <row r="13">
      <c r="A13" s="3" t="n"/>
      <c r="B13" s="3" t="n"/>
      <c r="C13">
        <f>IFERROR(XLOOKUP([@Test_ID],Criteria[Test_ID],Criteria[Units],""),"")</f>
        <v/>
      </c>
      <c r="D13">
        <f>IFERROR(XLOOKUP([@Test_ID],Criteria[Test_ID],Criteria[Method],""),"")</f>
        <v/>
      </c>
      <c r="E1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3" s="3" t="n"/>
      <c r="G13" s="4" t="n"/>
      <c r="H13" s="3" t="n"/>
    </row>
    <row r="14">
      <c r="A14" s="3" t="n"/>
      <c r="B14" s="3" t="n"/>
      <c r="C14">
        <f>IFERROR(XLOOKUP([@Test_ID],Criteria[Test_ID],Criteria[Units],""),"")</f>
        <v/>
      </c>
      <c r="D14">
        <f>IFERROR(XLOOKUP([@Test_ID],Criteria[Test_ID],Criteria[Method],""),"")</f>
        <v/>
      </c>
      <c r="E1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4" s="3" t="n"/>
      <c r="G14" s="4" t="n"/>
      <c r="H14" s="3" t="n"/>
    </row>
    <row r="15">
      <c r="A15" s="3" t="n"/>
      <c r="B15" s="3" t="n"/>
      <c r="C15">
        <f>IFERROR(XLOOKUP([@Test_ID],Criteria[Test_ID],Criteria[Units],""),"")</f>
        <v/>
      </c>
      <c r="D15">
        <f>IFERROR(XLOOKUP([@Test_ID],Criteria[Test_ID],Criteria[Method],""),"")</f>
        <v/>
      </c>
      <c r="E1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5" s="3" t="n"/>
      <c r="G15" s="4" t="n"/>
      <c r="H15" s="3" t="n"/>
    </row>
    <row r="16">
      <c r="A16" s="3" t="n"/>
      <c r="B16" s="3" t="n"/>
      <c r="C16">
        <f>IFERROR(XLOOKUP([@Test_ID],Criteria[Test_ID],Criteria[Units],""),"")</f>
        <v/>
      </c>
      <c r="D16">
        <f>IFERROR(XLOOKUP([@Test_ID],Criteria[Test_ID],Criteria[Method],""),"")</f>
        <v/>
      </c>
      <c r="E1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6" s="3" t="n"/>
      <c r="G16" s="4" t="n"/>
      <c r="H16" s="3" t="n"/>
    </row>
    <row r="17">
      <c r="A17" s="3" t="n"/>
      <c r="B17" s="3" t="n"/>
      <c r="C17">
        <f>IFERROR(XLOOKUP([@Test_ID],Criteria[Test_ID],Criteria[Units],""),"")</f>
        <v/>
      </c>
      <c r="D17">
        <f>IFERROR(XLOOKUP([@Test_ID],Criteria[Test_ID],Criteria[Method],""),"")</f>
        <v/>
      </c>
      <c r="E1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7" s="3" t="n"/>
      <c r="G17" s="4" t="n"/>
      <c r="H17" s="3" t="n"/>
    </row>
    <row r="18">
      <c r="A18" s="3" t="n"/>
      <c r="B18" s="3" t="n"/>
      <c r="C18">
        <f>IFERROR(XLOOKUP([@Test_ID],Criteria[Test_ID],Criteria[Units],""),"")</f>
        <v/>
      </c>
      <c r="D18">
        <f>IFERROR(XLOOKUP([@Test_ID],Criteria[Test_ID],Criteria[Method],""),"")</f>
        <v/>
      </c>
      <c r="E1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8" s="3" t="n"/>
      <c r="G18" s="4" t="n"/>
      <c r="H18" s="3" t="n"/>
    </row>
    <row r="19">
      <c r="A19" s="3" t="n"/>
      <c r="B19" s="3" t="n"/>
      <c r="C19">
        <f>IFERROR(XLOOKUP([@Test_ID],Criteria[Test_ID],Criteria[Units],""),"")</f>
        <v/>
      </c>
      <c r="D19">
        <f>IFERROR(XLOOKUP([@Test_ID],Criteria[Test_ID],Criteria[Method],""),"")</f>
        <v/>
      </c>
      <c r="E1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9" s="3" t="n"/>
      <c r="G19" s="4" t="n"/>
      <c r="H19" s="3" t="n"/>
    </row>
    <row r="20">
      <c r="A20" s="3" t="n"/>
      <c r="B20" s="3" t="n"/>
      <c r="C20">
        <f>IFERROR(XLOOKUP([@Test_ID],Criteria[Test_ID],Criteria[Units],""),"")</f>
        <v/>
      </c>
      <c r="D20">
        <f>IFERROR(XLOOKUP([@Test_ID],Criteria[Test_ID],Criteria[Method],""),"")</f>
        <v/>
      </c>
      <c r="E2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0" s="3" t="n"/>
      <c r="G20" s="4" t="n"/>
      <c r="H20" s="3" t="n"/>
    </row>
    <row r="21">
      <c r="A21" s="3" t="n"/>
      <c r="B21" s="3" t="n"/>
      <c r="C21">
        <f>IFERROR(XLOOKUP([@Test_ID],Criteria[Test_ID],Criteria[Units],""),"")</f>
        <v/>
      </c>
      <c r="D21">
        <f>IFERROR(XLOOKUP([@Test_ID],Criteria[Test_ID],Criteria[Method],""),"")</f>
        <v/>
      </c>
      <c r="E2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1" s="3" t="n"/>
      <c r="G21" s="4" t="n"/>
      <c r="H21" s="3" t="n"/>
    </row>
    <row r="22">
      <c r="A22" s="3" t="n"/>
      <c r="B22" s="3" t="n"/>
      <c r="C22">
        <f>IFERROR(XLOOKUP([@Test_ID],Criteria[Test_ID],Criteria[Units],""),"")</f>
        <v/>
      </c>
      <c r="D22">
        <f>IFERROR(XLOOKUP([@Test_ID],Criteria[Test_ID],Criteria[Method],""),"")</f>
        <v/>
      </c>
      <c r="E2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2" s="3" t="n"/>
      <c r="G22" s="4" t="n"/>
      <c r="H22" s="3" t="n"/>
    </row>
    <row r="23">
      <c r="A23" s="3" t="n"/>
      <c r="B23" s="3" t="n"/>
      <c r="C23">
        <f>IFERROR(XLOOKUP([@Test_ID],Criteria[Test_ID],Criteria[Units],""),"")</f>
        <v/>
      </c>
      <c r="D23">
        <f>IFERROR(XLOOKUP([@Test_ID],Criteria[Test_ID],Criteria[Method],""),"")</f>
        <v/>
      </c>
      <c r="E2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3" s="3" t="n"/>
      <c r="G23" s="4" t="n"/>
      <c r="H23" s="3" t="n"/>
    </row>
    <row r="24">
      <c r="A24" s="3" t="n"/>
      <c r="B24" s="3" t="n"/>
      <c r="C24">
        <f>IFERROR(XLOOKUP([@Test_ID],Criteria[Test_ID],Criteria[Units],""),"")</f>
        <v/>
      </c>
      <c r="D24">
        <f>IFERROR(XLOOKUP([@Test_ID],Criteria[Test_ID],Criteria[Method],""),"")</f>
        <v/>
      </c>
      <c r="E2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4" s="3" t="n"/>
      <c r="G24" s="4" t="n"/>
      <c r="H24" s="3" t="n"/>
    </row>
    <row r="25">
      <c r="A25" s="3" t="n"/>
      <c r="B25" s="3" t="n"/>
      <c r="C25">
        <f>IFERROR(XLOOKUP([@Test_ID],Criteria[Test_ID],Criteria[Units],""),"")</f>
        <v/>
      </c>
      <c r="D25">
        <f>IFERROR(XLOOKUP([@Test_ID],Criteria[Test_ID],Criteria[Method],""),"")</f>
        <v/>
      </c>
      <c r="E2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5" s="3" t="n"/>
      <c r="G25" s="4" t="n"/>
      <c r="H25" s="3" t="n"/>
    </row>
    <row r="26">
      <c r="A26" s="3" t="n"/>
      <c r="B26" s="3" t="n"/>
      <c r="C26">
        <f>IFERROR(XLOOKUP([@Test_ID],Criteria[Test_ID],Criteria[Units],""),"")</f>
        <v/>
      </c>
      <c r="D26">
        <f>IFERROR(XLOOKUP([@Test_ID],Criteria[Test_ID],Criteria[Method],""),"")</f>
        <v/>
      </c>
      <c r="E2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6" s="3" t="n"/>
      <c r="G26" s="4" t="n"/>
      <c r="H26" s="3" t="n"/>
    </row>
    <row r="27">
      <c r="A27" s="3" t="n"/>
      <c r="B27" s="3" t="n"/>
      <c r="C27">
        <f>IFERROR(XLOOKUP([@Test_ID],Criteria[Test_ID],Criteria[Units],""),"")</f>
        <v/>
      </c>
      <c r="D27">
        <f>IFERROR(XLOOKUP([@Test_ID],Criteria[Test_ID],Criteria[Method],""),"")</f>
        <v/>
      </c>
      <c r="E2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7" s="3" t="n"/>
      <c r="G27" s="4" t="n"/>
      <c r="H27" s="3" t="n"/>
    </row>
    <row r="28">
      <c r="A28" s="3" t="n"/>
      <c r="B28" s="3" t="n"/>
      <c r="C28">
        <f>IFERROR(XLOOKUP([@Test_ID],Criteria[Test_ID],Criteria[Units],""),"")</f>
        <v/>
      </c>
      <c r="D28">
        <f>IFERROR(XLOOKUP([@Test_ID],Criteria[Test_ID],Criteria[Method],""),"")</f>
        <v/>
      </c>
      <c r="E2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8" s="3" t="n"/>
      <c r="G28" s="4" t="n"/>
      <c r="H28" s="3" t="n"/>
    </row>
    <row r="29">
      <c r="A29" s="3" t="n"/>
      <c r="B29" s="3" t="n"/>
      <c r="C29">
        <f>IFERROR(XLOOKUP([@Test_ID],Criteria[Test_ID],Criteria[Units],""),"")</f>
        <v/>
      </c>
      <c r="D29">
        <f>IFERROR(XLOOKUP([@Test_ID],Criteria[Test_ID],Criteria[Method],""),"")</f>
        <v/>
      </c>
      <c r="E2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29" s="3" t="n"/>
      <c r="G29" s="4" t="n"/>
      <c r="H29" s="3" t="n"/>
    </row>
    <row r="30">
      <c r="A30" s="3" t="n"/>
      <c r="B30" s="3" t="n"/>
      <c r="C30">
        <f>IFERROR(XLOOKUP([@Test_ID],Criteria[Test_ID],Criteria[Units],""),"")</f>
        <v/>
      </c>
      <c r="D30">
        <f>IFERROR(XLOOKUP([@Test_ID],Criteria[Test_ID],Criteria[Method],""),"")</f>
        <v/>
      </c>
      <c r="E3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0" s="3" t="n"/>
      <c r="G30" s="4" t="n"/>
      <c r="H30" s="3" t="n"/>
    </row>
    <row r="31">
      <c r="A31" s="3" t="n"/>
      <c r="B31" s="3" t="n"/>
      <c r="C31">
        <f>IFERROR(XLOOKUP([@Test_ID],Criteria[Test_ID],Criteria[Units],""),"")</f>
        <v/>
      </c>
      <c r="D31">
        <f>IFERROR(XLOOKUP([@Test_ID],Criteria[Test_ID],Criteria[Method],""),"")</f>
        <v/>
      </c>
      <c r="E3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1" s="3" t="n"/>
      <c r="G31" s="4" t="n"/>
      <c r="H31" s="3" t="n"/>
    </row>
    <row r="32">
      <c r="A32" s="3" t="n"/>
      <c r="B32" s="3" t="n"/>
      <c r="C32">
        <f>IFERROR(XLOOKUP([@Test_ID],Criteria[Test_ID],Criteria[Units],""),"")</f>
        <v/>
      </c>
      <c r="D32">
        <f>IFERROR(XLOOKUP([@Test_ID],Criteria[Test_ID],Criteria[Method],""),"")</f>
        <v/>
      </c>
      <c r="E3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2" s="3" t="n"/>
      <c r="G32" s="4" t="n"/>
      <c r="H32" s="3" t="n"/>
    </row>
    <row r="33">
      <c r="A33" s="3" t="n"/>
      <c r="B33" s="3" t="n"/>
      <c r="C33">
        <f>IFERROR(XLOOKUP([@Test_ID],Criteria[Test_ID],Criteria[Units],""),"")</f>
        <v/>
      </c>
      <c r="D33">
        <f>IFERROR(XLOOKUP([@Test_ID],Criteria[Test_ID],Criteria[Method],""),"")</f>
        <v/>
      </c>
      <c r="E3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3" s="3" t="n"/>
      <c r="G33" s="4" t="n"/>
      <c r="H33" s="3" t="n"/>
    </row>
    <row r="34">
      <c r="A34" s="3" t="n"/>
      <c r="B34" s="3" t="n"/>
      <c r="C34">
        <f>IFERROR(XLOOKUP([@Test_ID],Criteria[Test_ID],Criteria[Units],""),"")</f>
        <v/>
      </c>
      <c r="D34">
        <f>IFERROR(XLOOKUP([@Test_ID],Criteria[Test_ID],Criteria[Method],""),"")</f>
        <v/>
      </c>
      <c r="E3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4" s="3" t="n"/>
      <c r="G34" s="4" t="n"/>
      <c r="H34" s="3" t="n"/>
    </row>
    <row r="35">
      <c r="A35" s="3" t="n"/>
      <c r="B35" s="3" t="n"/>
      <c r="C35">
        <f>IFERROR(XLOOKUP([@Test_ID],Criteria[Test_ID],Criteria[Units],""),"")</f>
        <v/>
      </c>
      <c r="D35">
        <f>IFERROR(XLOOKUP([@Test_ID],Criteria[Test_ID],Criteria[Method],""),"")</f>
        <v/>
      </c>
      <c r="E3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5" s="3" t="n"/>
      <c r="G35" s="4" t="n"/>
      <c r="H35" s="3" t="n"/>
    </row>
    <row r="36">
      <c r="A36" s="3" t="n"/>
      <c r="B36" s="3" t="n"/>
      <c r="C36">
        <f>IFERROR(XLOOKUP([@Test_ID],Criteria[Test_ID],Criteria[Units],""),"")</f>
        <v/>
      </c>
      <c r="D36">
        <f>IFERROR(XLOOKUP([@Test_ID],Criteria[Test_ID],Criteria[Method],""),"")</f>
        <v/>
      </c>
      <c r="E3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6" s="3" t="n"/>
      <c r="G36" s="4" t="n"/>
      <c r="H36" s="3" t="n"/>
    </row>
    <row r="37">
      <c r="A37" s="3" t="n"/>
      <c r="B37" s="3" t="n"/>
      <c r="C37">
        <f>IFERROR(XLOOKUP([@Test_ID],Criteria[Test_ID],Criteria[Units],""),"")</f>
        <v/>
      </c>
      <c r="D37">
        <f>IFERROR(XLOOKUP([@Test_ID],Criteria[Test_ID],Criteria[Method],""),"")</f>
        <v/>
      </c>
      <c r="E3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7" s="3" t="n"/>
      <c r="G37" s="4" t="n"/>
      <c r="H37" s="3" t="n"/>
    </row>
    <row r="38">
      <c r="A38" s="3" t="n"/>
      <c r="B38" s="3" t="n"/>
      <c r="C38">
        <f>IFERROR(XLOOKUP([@Test_ID],Criteria[Test_ID],Criteria[Units],""),"")</f>
        <v/>
      </c>
      <c r="D38">
        <f>IFERROR(XLOOKUP([@Test_ID],Criteria[Test_ID],Criteria[Method],""),"")</f>
        <v/>
      </c>
      <c r="E3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8" s="3" t="n"/>
      <c r="G38" s="4" t="n"/>
      <c r="H38" s="3" t="n"/>
    </row>
    <row r="39">
      <c r="A39" s="3" t="n"/>
      <c r="B39" s="3" t="n"/>
      <c r="C39">
        <f>IFERROR(XLOOKUP([@Test_ID],Criteria[Test_ID],Criteria[Units],""),"")</f>
        <v/>
      </c>
      <c r="D39">
        <f>IFERROR(XLOOKUP([@Test_ID],Criteria[Test_ID],Criteria[Method],""),"")</f>
        <v/>
      </c>
      <c r="E3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39" s="3" t="n"/>
      <c r="G39" s="4" t="n"/>
      <c r="H39" s="3" t="n"/>
    </row>
    <row r="40">
      <c r="A40" s="3" t="n"/>
      <c r="B40" s="3" t="n"/>
      <c r="C40">
        <f>IFERROR(XLOOKUP([@Test_ID],Criteria[Test_ID],Criteria[Units],""),"")</f>
        <v/>
      </c>
      <c r="D40">
        <f>IFERROR(XLOOKUP([@Test_ID],Criteria[Test_ID],Criteria[Method],""),"")</f>
        <v/>
      </c>
      <c r="E4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0" s="3" t="n"/>
      <c r="G40" s="4" t="n"/>
      <c r="H40" s="3" t="n"/>
    </row>
    <row r="41">
      <c r="A41" s="3" t="n"/>
      <c r="B41" s="3" t="n"/>
      <c r="C41">
        <f>IFERROR(XLOOKUP([@Test_ID],Criteria[Test_ID],Criteria[Units],""),"")</f>
        <v/>
      </c>
      <c r="D41">
        <f>IFERROR(XLOOKUP([@Test_ID],Criteria[Test_ID],Criteria[Method],""),"")</f>
        <v/>
      </c>
      <c r="E4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1" s="3" t="n"/>
      <c r="G41" s="4" t="n"/>
      <c r="H41" s="3" t="n"/>
    </row>
    <row r="42">
      <c r="A42" s="3" t="n"/>
      <c r="B42" s="3" t="n"/>
      <c r="C42">
        <f>IFERROR(XLOOKUP([@Test_ID],Criteria[Test_ID],Criteria[Units],""),"")</f>
        <v/>
      </c>
      <c r="D42">
        <f>IFERROR(XLOOKUP([@Test_ID],Criteria[Test_ID],Criteria[Method],""),"")</f>
        <v/>
      </c>
      <c r="E4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2" s="3" t="n"/>
      <c r="G42" s="4" t="n"/>
      <c r="H42" s="3" t="n"/>
    </row>
    <row r="43">
      <c r="A43" s="3" t="n"/>
      <c r="B43" s="3" t="n"/>
      <c r="C43">
        <f>IFERROR(XLOOKUP([@Test_ID],Criteria[Test_ID],Criteria[Units],""),"")</f>
        <v/>
      </c>
      <c r="D43">
        <f>IFERROR(XLOOKUP([@Test_ID],Criteria[Test_ID],Criteria[Method],""),"")</f>
        <v/>
      </c>
      <c r="E4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3" s="3" t="n"/>
      <c r="G43" s="4" t="n"/>
      <c r="H43" s="3" t="n"/>
    </row>
    <row r="44">
      <c r="A44" s="3" t="n"/>
      <c r="B44" s="3" t="n"/>
      <c r="C44">
        <f>IFERROR(XLOOKUP([@Test_ID],Criteria[Test_ID],Criteria[Units],""),"")</f>
        <v/>
      </c>
      <c r="D44">
        <f>IFERROR(XLOOKUP([@Test_ID],Criteria[Test_ID],Criteria[Method],""),"")</f>
        <v/>
      </c>
      <c r="E4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4" s="3" t="n"/>
      <c r="G44" s="4" t="n"/>
      <c r="H44" s="3" t="n"/>
    </row>
    <row r="45">
      <c r="A45" s="3" t="n"/>
      <c r="B45" s="3" t="n"/>
      <c r="C45">
        <f>IFERROR(XLOOKUP([@Test_ID],Criteria[Test_ID],Criteria[Units],""),"")</f>
        <v/>
      </c>
      <c r="D45">
        <f>IFERROR(XLOOKUP([@Test_ID],Criteria[Test_ID],Criteria[Method],""),"")</f>
        <v/>
      </c>
      <c r="E4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5" s="3" t="n"/>
      <c r="G45" s="4" t="n"/>
      <c r="H45" s="3" t="n"/>
    </row>
    <row r="46">
      <c r="A46" s="3" t="n"/>
      <c r="B46" s="3" t="n"/>
      <c r="C46">
        <f>IFERROR(XLOOKUP([@Test_ID],Criteria[Test_ID],Criteria[Units],""),"")</f>
        <v/>
      </c>
      <c r="D46">
        <f>IFERROR(XLOOKUP([@Test_ID],Criteria[Test_ID],Criteria[Method],""),"")</f>
        <v/>
      </c>
      <c r="E4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6" s="3" t="n"/>
      <c r="G46" s="4" t="n"/>
      <c r="H46" s="3" t="n"/>
    </row>
    <row r="47">
      <c r="A47" s="3" t="n"/>
      <c r="B47" s="3" t="n"/>
      <c r="C47">
        <f>IFERROR(XLOOKUP([@Test_ID],Criteria[Test_ID],Criteria[Units],""),"")</f>
        <v/>
      </c>
      <c r="D47">
        <f>IFERROR(XLOOKUP([@Test_ID],Criteria[Test_ID],Criteria[Method],""),"")</f>
        <v/>
      </c>
      <c r="E4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7" s="3" t="n"/>
      <c r="G47" s="4" t="n"/>
      <c r="H47" s="3" t="n"/>
    </row>
    <row r="48">
      <c r="A48" s="3" t="n"/>
      <c r="B48" s="3" t="n"/>
      <c r="C48">
        <f>IFERROR(XLOOKUP([@Test_ID],Criteria[Test_ID],Criteria[Units],""),"")</f>
        <v/>
      </c>
      <c r="D48">
        <f>IFERROR(XLOOKUP([@Test_ID],Criteria[Test_ID],Criteria[Method],""),"")</f>
        <v/>
      </c>
      <c r="E4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8" s="3" t="n"/>
      <c r="G48" s="4" t="n"/>
      <c r="H48" s="3" t="n"/>
    </row>
    <row r="49">
      <c r="A49" s="3" t="n"/>
      <c r="B49" s="3" t="n"/>
      <c r="C49">
        <f>IFERROR(XLOOKUP([@Test_ID],Criteria[Test_ID],Criteria[Units],""),"")</f>
        <v/>
      </c>
      <c r="D49">
        <f>IFERROR(XLOOKUP([@Test_ID],Criteria[Test_ID],Criteria[Method],""),"")</f>
        <v/>
      </c>
      <c r="E4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49" s="3" t="n"/>
      <c r="G49" s="4" t="n"/>
      <c r="H49" s="3" t="n"/>
    </row>
    <row r="50">
      <c r="A50" s="3" t="n"/>
      <c r="B50" s="3" t="n"/>
      <c r="C50">
        <f>IFERROR(XLOOKUP([@Test_ID],Criteria[Test_ID],Criteria[Units],""),"")</f>
        <v/>
      </c>
      <c r="D50">
        <f>IFERROR(XLOOKUP([@Test_ID],Criteria[Test_ID],Criteria[Method],""),"")</f>
        <v/>
      </c>
      <c r="E5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0" s="3" t="n"/>
      <c r="G50" s="4" t="n"/>
      <c r="H50" s="3" t="n"/>
    </row>
    <row r="51">
      <c r="A51" s="3" t="n"/>
      <c r="B51" s="3" t="n"/>
      <c r="C51">
        <f>IFERROR(XLOOKUP([@Test_ID],Criteria[Test_ID],Criteria[Units],""),"")</f>
        <v/>
      </c>
      <c r="D51">
        <f>IFERROR(XLOOKUP([@Test_ID],Criteria[Test_ID],Criteria[Method],""),"")</f>
        <v/>
      </c>
      <c r="E5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1" s="3" t="n"/>
      <c r="G51" s="4" t="n"/>
      <c r="H51" s="3" t="n"/>
    </row>
    <row r="52">
      <c r="A52" s="3" t="n"/>
      <c r="B52" s="3" t="n"/>
      <c r="C52">
        <f>IFERROR(XLOOKUP([@Test_ID],Criteria[Test_ID],Criteria[Units],""),"")</f>
        <v/>
      </c>
      <c r="D52">
        <f>IFERROR(XLOOKUP([@Test_ID],Criteria[Test_ID],Criteria[Method],""),"")</f>
        <v/>
      </c>
      <c r="E5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2" s="3" t="n"/>
      <c r="G52" s="4" t="n"/>
      <c r="H52" s="3" t="n"/>
    </row>
    <row r="53">
      <c r="A53" s="3" t="n"/>
      <c r="B53" s="3" t="n"/>
      <c r="C53">
        <f>IFERROR(XLOOKUP([@Test_ID],Criteria[Test_ID],Criteria[Units],""),"")</f>
        <v/>
      </c>
      <c r="D53">
        <f>IFERROR(XLOOKUP([@Test_ID],Criteria[Test_ID],Criteria[Method],""),"")</f>
        <v/>
      </c>
      <c r="E5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3" s="3" t="n"/>
      <c r="G53" s="4" t="n"/>
      <c r="H53" s="3" t="n"/>
    </row>
    <row r="54">
      <c r="A54" s="3" t="n"/>
      <c r="B54" s="3" t="n"/>
      <c r="C54">
        <f>IFERROR(XLOOKUP([@Test_ID],Criteria[Test_ID],Criteria[Units],""),"")</f>
        <v/>
      </c>
      <c r="D54">
        <f>IFERROR(XLOOKUP([@Test_ID],Criteria[Test_ID],Criteria[Method],""),"")</f>
        <v/>
      </c>
      <c r="E5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4" s="3" t="n"/>
      <c r="G54" s="4" t="n"/>
      <c r="H54" s="3" t="n"/>
    </row>
    <row r="55">
      <c r="A55" s="3" t="n"/>
      <c r="B55" s="3" t="n"/>
      <c r="C55">
        <f>IFERROR(XLOOKUP([@Test_ID],Criteria[Test_ID],Criteria[Units],""),"")</f>
        <v/>
      </c>
      <c r="D55">
        <f>IFERROR(XLOOKUP([@Test_ID],Criteria[Test_ID],Criteria[Method],""),"")</f>
        <v/>
      </c>
      <c r="E5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5" s="3" t="n"/>
      <c r="G55" s="4" t="n"/>
      <c r="H55" s="3" t="n"/>
    </row>
    <row r="56">
      <c r="A56" s="3" t="n"/>
      <c r="B56" s="3" t="n"/>
      <c r="C56">
        <f>IFERROR(XLOOKUP([@Test_ID],Criteria[Test_ID],Criteria[Units],""),"")</f>
        <v/>
      </c>
      <c r="D56">
        <f>IFERROR(XLOOKUP([@Test_ID],Criteria[Test_ID],Criteria[Method],""),"")</f>
        <v/>
      </c>
      <c r="E5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6" s="3" t="n"/>
      <c r="G56" s="4" t="n"/>
      <c r="H56" s="3" t="n"/>
    </row>
    <row r="57">
      <c r="A57" s="3" t="n"/>
      <c r="B57" s="3" t="n"/>
      <c r="C57">
        <f>IFERROR(XLOOKUP([@Test_ID],Criteria[Test_ID],Criteria[Units],""),"")</f>
        <v/>
      </c>
      <c r="D57">
        <f>IFERROR(XLOOKUP([@Test_ID],Criteria[Test_ID],Criteria[Method],""),"")</f>
        <v/>
      </c>
      <c r="E5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7" s="3" t="n"/>
      <c r="G57" s="4" t="n"/>
      <c r="H57" s="3" t="n"/>
    </row>
    <row r="58">
      <c r="A58" s="3" t="n"/>
      <c r="B58" s="3" t="n"/>
      <c r="C58">
        <f>IFERROR(XLOOKUP([@Test_ID],Criteria[Test_ID],Criteria[Units],""),"")</f>
        <v/>
      </c>
      <c r="D58">
        <f>IFERROR(XLOOKUP([@Test_ID],Criteria[Test_ID],Criteria[Method],""),"")</f>
        <v/>
      </c>
      <c r="E5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8" s="3" t="n"/>
      <c r="G58" s="4" t="n"/>
      <c r="H58" s="3" t="n"/>
    </row>
    <row r="59">
      <c r="A59" s="3" t="n"/>
      <c r="B59" s="3" t="n"/>
      <c r="C59">
        <f>IFERROR(XLOOKUP([@Test_ID],Criteria[Test_ID],Criteria[Units],""),"")</f>
        <v/>
      </c>
      <c r="D59">
        <f>IFERROR(XLOOKUP([@Test_ID],Criteria[Test_ID],Criteria[Method],""),"")</f>
        <v/>
      </c>
      <c r="E5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59" s="3" t="n"/>
      <c r="G59" s="4" t="n"/>
      <c r="H59" s="3" t="n"/>
    </row>
    <row r="60">
      <c r="A60" s="3" t="n"/>
      <c r="B60" s="3" t="n"/>
      <c r="C60">
        <f>IFERROR(XLOOKUP([@Test_ID],Criteria[Test_ID],Criteria[Units],""),"")</f>
        <v/>
      </c>
      <c r="D60">
        <f>IFERROR(XLOOKUP([@Test_ID],Criteria[Test_ID],Criteria[Method],""),"")</f>
        <v/>
      </c>
      <c r="E6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0" s="3" t="n"/>
      <c r="G60" s="4" t="n"/>
      <c r="H60" s="3" t="n"/>
    </row>
    <row r="61">
      <c r="A61" s="3" t="n"/>
      <c r="B61" s="3" t="n"/>
      <c r="C61">
        <f>IFERROR(XLOOKUP([@Test_ID],Criteria[Test_ID],Criteria[Units],""),"")</f>
        <v/>
      </c>
      <c r="D61">
        <f>IFERROR(XLOOKUP([@Test_ID],Criteria[Test_ID],Criteria[Method],""),"")</f>
        <v/>
      </c>
      <c r="E6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1" s="3" t="n"/>
      <c r="G61" s="4" t="n"/>
      <c r="H61" s="3" t="n"/>
    </row>
    <row r="62">
      <c r="A62" s="3" t="n"/>
      <c r="B62" s="3" t="n"/>
      <c r="C62">
        <f>IFERROR(XLOOKUP([@Test_ID],Criteria[Test_ID],Criteria[Units],""),"")</f>
        <v/>
      </c>
      <c r="D62">
        <f>IFERROR(XLOOKUP([@Test_ID],Criteria[Test_ID],Criteria[Method],""),"")</f>
        <v/>
      </c>
      <c r="E6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2" s="3" t="n"/>
      <c r="G62" s="4" t="n"/>
      <c r="H62" s="3" t="n"/>
    </row>
    <row r="63">
      <c r="A63" s="3" t="n"/>
      <c r="B63" s="3" t="n"/>
      <c r="C63">
        <f>IFERROR(XLOOKUP([@Test_ID],Criteria[Test_ID],Criteria[Units],""),"")</f>
        <v/>
      </c>
      <c r="D63">
        <f>IFERROR(XLOOKUP([@Test_ID],Criteria[Test_ID],Criteria[Method],""),"")</f>
        <v/>
      </c>
      <c r="E6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3" s="3" t="n"/>
      <c r="G63" s="4" t="n"/>
      <c r="H63" s="3" t="n"/>
    </row>
    <row r="64">
      <c r="A64" s="3" t="n"/>
      <c r="B64" s="3" t="n"/>
      <c r="C64">
        <f>IFERROR(XLOOKUP([@Test_ID],Criteria[Test_ID],Criteria[Units],""),"")</f>
        <v/>
      </c>
      <c r="D64">
        <f>IFERROR(XLOOKUP([@Test_ID],Criteria[Test_ID],Criteria[Method],""),"")</f>
        <v/>
      </c>
      <c r="E6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4" s="3" t="n"/>
      <c r="G64" s="4" t="n"/>
      <c r="H64" s="3" t="n"/>
    </row>
    <row r="65">
      <c r="A65" s="3" t="n"/>
      <c r="B65" s="3" t="n"/>
      <c r="C65">
        <f>IFERROR(XLOOKUP([@Test_ID],Criteria[Test_ID],Criteria[Units],""),"")</f>
        <v/>
      </c>
      <c r="D65">
        <f>IFERROR(XLOOKUP([@Test_ID],Criteria[Test_ID],Criteria[Method],""),"")</f>
        <v/>
      </c>
      <c r="E6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5" s="3" t="n"/>
      <c r="G65" s="4" t="n"/>
      <c r="H65" s="3" t="n"/>
    </row>
    <row r="66">
      <c r="A66" s="3" t="n"/>
      <c r="B66" s="3" t="n"/>
      <c r="C66">
        <f>IFERROR(XLOOKUP([@Test_ID],Criteria[Test_ID],Criteria[Units],""),"")</f>
        <v/>
      </c>
      <c r="D66">
        <f>IFERROR(XLOOKUP([@Test_ID],Criteria[Test_ID],Criteria[Method],""),"")</f>
        <v/>
      </c>
      <c r="E6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6" s="3" t="n"/>
      <c r="G66" s="4" t="n"/>
      <c r="H66" s="3" t="n"/>
    </row>
    <row r="67">
      <c r="A67" s="3" t="n"/>
      <c r="B67" s="3" t="n"/>
      <c r="C67">
        <f>IFERROR(XLOOKUP([@Test_ID],Criteria[Test_ID],Criteria[Units],""),"")</f>
        <v/>
      </c>
      <c r="D67">
        <f>IFERROR(XLOOKUP([@Test_ID],Criteria[Test_ID],Criteria[Method],""),"")</f>
        <v/>
      </c>
      <c r="E6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7" s="3" t="n"/>
      <c r="G67" s="4" t="n"/>
      <c r="H67" s="3" t="n"/>
    </row>
    <row r="68">
      <c r="A68" s="3" t="n"/>
      <c r="B68" s="3" t="n"/>
      <c r="C68">
        <f>IFERROR(XLOOKUP([@Test_ID],Criteria[Test_ID],Criteria[Units],""),"")</f>
        <v/>
      </c>
      <c r="D68">
        <f>IFERROR(XLOOKUP([@Test_ID],Criteria[Test_ID],Criteria[Method],""),"")</f>
        <v/>
      </c>
      <c r="E6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8" s="3" t="n"/>
      <c r="G68" s="4" t="n"/>
      <c r="H68" s="3" t="n"/>
    </row>
    <row r="69">
      <c r="A69" s="3" t="n"/>
      <c r="B69" s="3" t="n"/>
      <c r="C69">
        <f>IFERROR(XLOOKUP([@Test_ID],Criteria[Test_ID],Criteria[Units],""),"")</f>
        <v/>
      </c>
      <c r="D69">
        <f>IFERROR(XLOOKUP([@Test_ID],Criteria[Test_ID],Criteria[Method],""),"")</f>
        <v/>
      </c>
      <c r="E6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69" s="3" t="n"/>
      <c r="G69" s="4" t="n"/>
      <c r="H69" s="3" t="n"/>
    </row>
    <row r="70">
      <c r="A70" s="3" t="n"/>
      <c r="B70" s="3" t="n"/>
      <c r="C70">
        <f>IFERROR(XLOOKUP([@Test_ID],Criteria[Test_ID],Criteria[Units],""),"")</f>
        <v/>
      </c>
      <c r="D70">
        <f>IFERROR(XLOOKUP([@Test_ID],Criteria[Test_ID],Criteria[Method],""),"")</f>
        <v/>
      </c>
      <c r="E7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0" s="3" t="n"/>
      <c r="G70" s="4" t="n"/>
      <c r="H70" s="3" t="n"/>
    </row>
    <row r="71">
      <c r="A71" s="3" t="n"/>
      <c r="B71" s="3" t="n"/>
      <c r="C71">
        <f>IFERROR(XLOOKUP([@Test_ID],Criteria[Test_ID],Criteria[Units],""),"")</f>
        <v/>
      </c>
      <c r="D71">
        <f>IFERROR(XLOOKUP([@Test_ID],Criteria[Test_ID],Criteria[Method],""),"")</f>
        <v/>
      </c>
      <c r="E7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1" s="3" t="n"/>
      <c r="G71" s="4" t="n"/>
      <c r="H71" s="3" t="n"/>
    </row>
    <row r="72">
      <c r="A72" s="3" t="n"/>
      <c r="B72" s="3" t="n"/>
      <c r="C72">
        <f>IFERROR(XLOOKUP([@Test_ID],Criteria[Test_ID],Criteria[Units],""),"")</f>
        <v/>
      </c>
      <c r="D72">
        <f>IFERROR(XLOOKUP([@Test_ID],Criteria[Test_ID],Criteria[Method],""),"")</f>
        <v/>
      </c>
      <c r="E7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2" s="3" t="n"/>
      <c r="G72" s="4" t="n"/>
      <c r="H72" s="3" t="n"/>
    </row>
    <row r="73">
      <c r="A73" s="3" t="n"/>
      <c r="B73" s="3" t="n"/>
      <c r="C73">
        <f>IFERROR(XLOOKUP([@Test_ID],Criteria[Test_ID],Criteria[Units],""),"")</f>
        <v/>
      </c>
      <c r="D73">
        <f>IFERROR(XLOOKUP([@Test_ID],Criteria[Test_ID],Criteria[Method],""),"")</f>
        <v/>
      </c>
      <c r="E7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3" s="3" t="n"/>
      <c r="G73" s="4" t="n"/>
      <c r="H73" s="3" t="n"/>
    </row>
    <row r="74">
      <c r="A74" s="3" t="n"/>
      <c r="B74" s="3" t="n"/>
      <c r="C74">
        <f>IFERROR(XLOOKUP([@Test_ID],Criteria[Test_ID],Criteria[Units],""),"")</f>
        <v/>
      </c>
      <c r="D74">
        <f>IFERROR(XLOOKUP([@Test_ID],Criteria[Test_ID],Criteria[Method],""),"")</f>
        <v/>
      </c>
      <c r="E7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4" s="3" t="n"/>
      <c r="G74" s="4" t="n"/>
      <c r="H74" s="3" t="n"/>
    </row>
    <row r="75">
      <c r="A75" s="3" t="n"/>
      <c r="B75" s="3" t="n"/>
      <c r="C75">
        <f>IFERROR(XLOOKUP([@Test_ID],Criteria[Test_ID],Criteria[Units],""),"")</f>
        <v/>
      </c>
      <c r="D75">
        <f>IFERROR(XLOOKUP([@Test_ID],Criteria[Test_ID],Criteria[Method],""),"")</f>
        <v/>
      </c>
      <c r="E7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5" s="3" t="n"/>
      <c r="G75" s="4" t="n"/>
      <c r="H75" s="3" t="n"/>
    </row>
    <row r="76">
      <c r="A76" s="3" t="n"/>
      <c r="B76" s="3" t="n"/>
      <c r="C76">
        <f>IFERROR(XLOOKUP([@Test_ID],Criteria[Test_ID],Criteria[Units],""),"")</f>
        <v/>
      </c>
      <c r="D76">
        <f>IFERROR(XLOOKUP([@Test_ID],Criteria[Test_ID],Criteria[Method],""),"")</f>
        <v/>
      </c>
      <c r="E7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6" s="3" t="n"/>
      <c r="G76" s="4" t="n"/>
      <c r="H76" s="3" t="n"/>
    </row>
    <row r="77">
      <c r="A77" s="3" t="n"/>
      <c r="B77" s="3" t="n"/>
      <c r="C77">
        <f>IFERROR(XLOOKUP([@Test_ID],Criteria[Test_ID],Criteria[Units],""),"")</f>
        <v/>
      </c>
      <c r="D77">
        <f>IFERROR(XLOOKUP([@Test_ID],Criteria[Test_ID],Criteria[Method],""),"")</f>
        <v/>
      </c>
      <c r="E7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7" s="3" t="n"/>
      <c r="G77" s="4" t="n"/>
      <c r="H77" s="3" t="n"/>
    </row>
    <row r="78">
      <c r="A78" s="3" t="n"/>
      <c r="B78" s="3" t="n"/>
      <c r="C78">
        <f>IFERROR(XLOOKUP([@Test_ID],Criteria[Test_ID],Criteria[Units],""),"")</f>
        <v/>
      </c>
      <c r="D78">
        <f>IFERROR(XLOOKUP([@Test_ID],Criteria[Test_ID],Criteria[Method],""),"")</f>
        <v/>
      </c>
      <c r="E7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8" s="3" t="n"/>
      <c r="G78" s="4" t="n"/>
      <c r="H78" s="3" t="n"/>
    </row>
    <row r="79">
      <c r="A79" s="3" t="n"/>
      <c r="B79" s="3" t="n"/>
      <c r="C79">
        <f>IFERROR(XLOOKUP([@Test_ID],Criteria[Test_ID],Criteria[Units],""),"")</f>
        <v/>
      </c>
      <c r="D79">
        <f>IFERROR(XLOOKUP([@Test_ID],Criteria[Test_ID],Criteria[Method],""),"")</f>
        <v/>
      </c>
      <c r="E7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79" s="3" t="n"/>
      <c r="G79" s="4" t="n"/>
      <c r="H79" s="3" t="n"/>
    </row>
    <row r="80">
      <c r="A80" s="3" t="n"/>
      <c r="B80" s="3" t="n"/>
      <c r="C80">
        <f>IFERROR(XLOOKUP([@Test_ID],Criteria[Test_ID],Criteria[Units],""),"")</f>
        <v/>
      </c>
      <c r="D80">
        <f>IFERROR(XLOOKUP([@Test_ID],Criteria[Test_ID],Criteria[Method],""),"")</f>
        <v/>
      </c>
      <c r="E8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0" s="3" t="n"/>
      <c r="G80" s="4" t="n"/>
      <c r="H80" s="3" t="n"/>
    </row>
    <row r="81">
      <c r="A81" s="3" t="n"/>
      <c r="B81" s="3" t="n"/>
      <c r="C81">
        <f>IFERROR(XLOOKUP([@Test_ID],Criteria[Test_ID],Criteria[Units],""),"")</f>
        <v/>
      </c>
      <c r="D81">
        <f>IFERROR(XLOOKUP([@Test_ID],Criteria[Test_ID],Criteria[Method],""),"")</f>
        <v/>
      </c>
      <c r="E8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1" s="3" t="n"/>
      <c r="G81" s="4" t="n"/>
      <c r="H81" s="3" t="n"/>
    </row>
    <row r="82">
      <c r="A82" s="3" t="n"/>
      <c r="B82" s="3" t="n"/>
      <c r="C82">
        <f>IFERROR(XLOOKUP([@Test_ID],Criteria[Test_ID],Criteria[Units],""),"")</f>
        <v/>
      </c>
      <c r="D82">
        <f>IFERROR(XLOOKUP([@Test_ID],Criteria[Test_ID],Criteria[Method],""),"")</f>
        <v/>
      </c>
      <c r="E8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2" s="3" t="n"/>
      <c r="G82" s="4" t="n"/>
      <c r="H82" s="3" t="n"/>
    </row>
    <row r="83">
      <c r="A83" s="3" t="n"/>
      <c r="B83" s="3" t="n"/>
      <c r="C83">
        <f>IFERROR(XLOOKUP([@Test_ID],Criteria[Test_ID],Criteria[Units],""),"")</f>
        <v/>
      </c>
      <c r="D83">
        <f>IFERROR(XLOOKUP([@Test_ID],Criteria[Test_ID],Criteria[Method],""),"")</f>
        <v/>
      </c>
      <c r="E8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3" s="3" t="n"/>
      <c r="G83" s="4" t="n"/>
      <c r="H83" s="3" t="n"/>
    </row>
    <row r="84">
      <c r="A84" s="3" t="n"/>
      <c r="B84" s="3" t="n"/>
      <c r="C84">
        <f>IFERROR(XLOOKUP([@Test_ID],Criteria[Test_ID],Criteria[Units],""),"")</f>
        <v/>
      </c>
      <c r="D84">
        <f>IFERROR(XLOOKUP([@Test_ID],Criteria[Test_ID],Criteria[Method],""),"")</f>
        <v/>
      </c>
      <c r="E8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4" s="3" t="n"/>
      <c r="G84" s="4" t="n"/>
      <c r="H84" s="3" t="n"/>
    </row>
    <row r="85">
      <c r="A85" s="3" t="n"/>
      <c r="B85" s="3" t="n"/>
      <c r="C85">
        <f>IFERROR(XLOOKUP([@Test_ID],Criteria[Test_ID],Criteria[Units],""),"")</f>
        <v/>
      </c>
      <c r="D85">
        <f>IFERROR(XLOOKUP([@Test_ID],Criteria[Test_ID],Criteria[Method],""),"")</f>
        <v/>
      </c>
      <c r="E8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5" s="3" t="n"/>
      <c r="G85" s="4" t="n"/>
      <c r="H85" s="3" t="n"/>
    </row>
    <row r="86">
      <c r="A86" s="3" t="n"/>
      <c r="B86" s="3" t="n"/>
      <c r="C86">
        <f>IFERROR(XLOOKUP([@Test_ID],Criteria[Test_ID],Criteria[Units],""),"")</f>
        <v/>
      </c>
      <c r="D86">
        <f>IFERROR(XLOOKUP([@Test_ID],Criteria[Test_ID],Criteria[Method],""),"")</f>
        <v/>
      </c>
      <c r="E8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6" s="3" t="n"/>
      <c r="G86" s="4" t="n"/>
      <c r="H86" s="3" t="n"/>
    </row>
    <row r="87">
      <c r="A87" s="3" t="n"/>
      <c r="B87" s="3" t="n"/>
      <c r="C87">
        <f>IFERROR(XLOOKUP([@Test_ID],Criteria[Test_ID],Criteria[Units],""),"")</f>
        <v/>
      </c>
      <c r="D87">
        <f>IFERROR(XLOOKUP([@Test_ID],Criteria[Test_ID],Criteria[Method],""),"")</f>
        <v/>
      </c>
      <c r="E8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7" s="3" t="n"/>
      <c r="G87" s="4" t="n"/>
      <c r="H87" s="3" t="n"/>
    </row>
    <row r="88">
      <c r="A88" s="3" t="n"/>
      <c r="B88" s="3" t="n"/>
      <c r="C88">
        <f>IFERROR(XLOOKUP([@Test_ID],Criteria[Test_ID],Criteria[Units],""),"")</f>
        <v/>
      </c>
      <c r="D88">
        <f>IFERROR(XLOOKUP([@Test_ID],Criteria[Test_ID],Criteria[Method],""),"")</f>
        <v/>
      </c>
      <c r="E8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8" s="3" t="n"/>
      <c r="G88" s="4" t="n"/>
      <c r="H88" s="3" t="n"/>
    </row>
    <row r="89">
      <c r="A89" s="3" t="n"/>
      <c r="B89" s="3" t="n"/>
      <c r="C89">
        <f>IFERROR(XLOOKUP([@Test_ID],Criteria[Test_ID],Criteria[Units],""),"")</f>
        <v/>
      </c>
      <c r="D89">
        <f>IFERROR(XLOOKUP([@Test_ID],Criteria[Test_ID],Criteria[Method],""),"")</f>
        <v/>
      </c>
      <c r="E8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89" s="3" t="n"/>
      <c r="G89" s="4" t="n"/>
      <c r="H89" s="3" t="n"/>
    </row>
    <row r="90">
      <c r="A90" s="3" t="n"/>
      <c r="B90" s="3" t="n"/>
      <c r="C90">
        <f>IFERROR(XLOOKUP([@Test_ID],Criteria[Test_ID],Criteria[Units],""),"")</f>
        <v/>
      </c>
      <c r="D90">
        <f>IFERROR(XLOOKUP([@Test_ID],Criteria[Test_ID],Criteria[Method],""),"")</f>
        <v/>
      </c>
      <c r="E9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0" s="3" t="n"/>
      <c r="G90" s="4" t="n"/>
      <c r="H90" s="3" t="n"/>
    </row>
    <row r="91">
      <c r="A91" s="3" t="n"/>
      <c r="B91" s="3" t="n"/>
      <c r="C91">
        <f>IFERROR(XLOOKUP([@Test_ID],Criteria[Test_ID],Criteria[Units],""),"")</f>
        <v/>
      </c>
      <c r="D91">
        <f>IFERROR(XLOOKUP([@Test_ID],Criteria[Test_ID],Criteria[Method],""),"")</f>
        <v/>
      </c>
      <c r="E9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1" s="3" t="n"/>
      <c r="G91" s="4" t="n"/>
      <c r="H91" s="3" t="n"/>
    </row>
    <row r="92">
      <c r="A92" s="3" t="n"/>
      <c r="B92" s="3" t="n"/>
      <c r="C92">
        <f>IFERROR(XLOOKUP([@Test_ID],Criteria[Test_ID],Criteria[Units],""),"")</f>
        <v/>
      </c>
      <c r="D92">
        <f>IFERROR(XLOOKUP([@Test_ID],Criteria[Test_ID],Criteria[Method],""),"")</f>
        <v/>
      </c>
      <c r="E92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2" s="3" t="n"/>
      <c r="G92" s="4" t="n"/>
      <c r="H92" s="3" t="n"/>
    </row>
    <row r="93">
      <c r="A93" s="3" t="n"/>
      <c r="B93" s="3" t="n"/>
      <c r="C93">
        <f>IFERROR(XLOOKUP([@Test_ID],Criteria[Test_ID],Criteria[Units],""),"")</f>
        <v/>
      </c>
      <c r="D93">
        <f>IFERROR(XLOOKUP([@Test_ID],Criteria[Test_ID],Criteria[Method],""),"")</f>
        <v/>
      </c>
      <c r="E93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3" s="3" t="n"/>
      <c r="G93" s="4" t="n"/>
      <c r="H93" s="3" t="n"/>
    </row>
    <row r="94">
      <c r="A94" s="3" t="n"/>
      <c r="B94" s="3" t="n"/>
      <c r="C94">
        <f>IFERROR(XLOOKUP([@Test_ID],Criteria[Test_ID],Criteria[Units],""),"")</f>
        <v/>
      </c>
      <c r="D94">
        <f>IFERROR(XLOOKUP([@Test_ID],Criteria[Test_ID],Criteria[Method],""),"")</f>
        <v/>
      </c>
      <c r="E94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4" s="3" t="n"/>
      <c r="G94" s="4" t="n"/>
      <c r="H94" s="3" t="n"/>
    </row>
    <row r="95">
      <c r="A95" s="3" t="n"/>
      <c r="B95" s="3" t="n"/>
      <c r="C95">
        <f>IFERROR(XLOOKUP([@Test_ID],Criteria[Test_ID],Criteria[Units],""),"")</f>
        <v/>
      </c>
      <c r="D95">
        <f>IFERROR(XLOOKUP([@Test_ID],Criteria[Test_ID],Criteria[Method],""),"")</f>
        <v/>
      </c>
      <c r="E95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5" s="3" t="n"/>
      <c r="G95" s="4" t="n"/>
      <c r="H95" s="3" t="n"/>
    </row>
    <row r="96">
      <c r="A96" s="3" t="n"/>
      <c r="B96" s="3" t="n"/>
      <c r="C96">
        <f>IFERROR(XLOOKUP([@Test_ID],Criteria[Test_ID],Criteria[Units],""),"")</f>
        <v/>
      </c>
      <c r="D96">
        <f>IFERROR(XLOOKUP([@Test_ID],Criteria[Test_ID],Criteria[Method],""),"")</f>
        <v/>
      </c>
      <c r="E96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6" s="3" t="n"/>
      <c r="G96" s="4" t="n"/>
      <c r="H96" s="3" t="n"/>
    </row>
    <row r="97">
      <c r="A97" s="3" t="n"/>
      <c r="B97" s="3" t="n"/>
      <c r="C97">
        <f>IFERROR(XLOOKUP([@Test_ID],Criteria[Test_ID],Criteria[Units],""),"")</f>
        <v/>
      </c>
      <c r="D97">
        <f>IFERROR(XLOOKUP([@Test_ID],Criteria[Test_ID],Criteria[Method],""),"")</f>
        <v/>
      </c>
      <c r="E97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7" s="3" t="n"/>
      <c r="G97" s="4" t="n"/>
      <c r="H97" s="3" t="n"/>
    </row>
    <row r="98">
      <c r="A98" s="3" t="n"/>
      <c r="B98" s="3" t="n"/>
      <c r="C98">
        <f>IFERROR(XLOOKUP([@Test_ID],Criteria[Test_ID],Criteria[Units],""),"")</f>
        <v/>
      </c>
      <c r="D98">
        <f>IFERROR(XLOOKUP([@Test_ID],Criteria[Test_ID],Criteria[Method],""),"")</f>
        <v/>
      </c>
      <c r="E98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8" s="3" t="n"/>
      <c r="G98" s="4" t="n"/>
      <c r="H98" s="3" t="n"/>
    </row>
    <row r="99">
      <c r="A99" s="3" t="n"/>
      <c r="B99" s="3" t="n"/>
      <c r="C99">
        <f>IFERROR(XLOOKUP([@Test_ID],Criteria[Test_ID],Criteria[Units],""),"")</f>
        <v/>
      </c>
      <c r="D99">
        <f>IFERROR(XLOOKUP([@Test_ID],Criteria[Test_ID],Criteria[Method],""),"")</f>
        <v/>
      </c>
      <c r="E99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99" s="3" t="n"/>
      <c r="G99" s="4" t="n"/>
      <c r="H99" s="3" t="n"/>
    </row>
    <row r="100">
      <c r="A100" s="3" t="n"/>
      <c r="B100" s="3" t="n"/>
      <c r="C100">
        <f>IFERROR(XLOOKUP([@Test_ID],Criteria[Test_ID],Criteria[Units],""),"")</f>
        <v/>
      </c>
      <c r="D100">
        <f>IFERROR(XLOOKUP([@Test_ID],Criteria[Test_ID],Criteria[Method],""),"")</f>
        <v/>
      </c>
      <c r="E100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00" s="3" t="n"/>
      <c r="G100" s="4" t="n"/>
      <c r="H100" s="3" t="n"/>
    </row>
    <row r="101">
      <c r="A101" s="3" t="n"/>
      <c r="B101" s="3" t="n"/>
      <c r="C101">
        <f>IFERROR(XLOOKUP([@Test_ID],Criteria[Test_ID],Criteria[Units],""),"")</f>
        <v/>
      </c>
      <c r="D101">
        <f>IFERROR(XLOOKUP([@Test_ID],Criteria[Test_ID],Criteria[Method],""),"")</f>
        <v/>
      </c>
      <c r="E101">
        <f>LET(id,[@Test_ID],res,[@Result],lower,IFERROR(XLOOKUP(id,Criteria[Test_ID],Criteria[Lower_Limit],""),""),upper,IFERROR(XLOOKUP(id,Criteria[Test_ID],Criteria[Upper_Limit],""),""),IF(OR(res="",NOT(ISNUMBER(res))),"TBD",IF(AND(IF(lower="",TRUE,res&gt;=lower), IF(upper="",TRUE,res&lt;=upper)),"PASS","FAIL"))))</f>
        <v/>
      </c>
      <c r="F101" s="3" t="n"/>
      <c r="G101" s="4" t="n"/>
      <c r="H101" s="3" t="n"/>
    </row>
  </sheetData>
  <sheetProtection selectLockedCells="0" selectUnlockedCells="1" sheet="1" objects="0" insertRows="1" insertHyperlinks="1" autoFilter="1" scenarios="0" formatColumns="1" deleteColumns="0" insertColumns="0" pivotTables="1" deleteRows="1" formatCells="0" formatRows="1" sort="1"/>
  <conditionalFormatting sqref="E2:E101">
    <cfRule type="expression" priority="1" dxfId="0">
      <formula>ISNUMBER(SEARCH("PASS",E2))</formula>
    </cfRule>
    <cfRule type="expression" priority="2" dxfId="1">
      <formula>ISNUMBER(SEARCH("FAIL",E2))</formula>
    </cfRule>
    <cfRule type="expression" priority="3" dxfId="2">
      <formula>ISNUMBER(SEARCH("TBD",E2))</formula>
    </cfRule>
  </conditionalFormatting>
  <dataValidations count="2">
    <dataValidation sqref="A2:A101" showDropDown="1" showInputMessage="0" showErrorMessage="0" allowBlank="1" type="list">
      <formula1>=Criteria!$A$2:$A$3</formula1>
    </dataValidation>
    <dataValidation sqref="G2:G101" showDropDown="0" showInputMessage="0" showErrorMessage="0" allowBlank="1" type="date" operator="between">
      <formula1>DATE(2000,1,1)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0" customWidth="1" min="5" max="5"/>
  </cols>
  <sheetData>
    <row r="1">
      <c r="A1" s="5" t="inlineStr">
        <is>
          <t>Test_ID</t>
        </is>
      </c>
      <c r="B1" s="5" t="inlineStr">
        <is>
          <t>Lower_Limit</t>
        </is>
      </c>
      <c r="C1" s="5" t="inlineStr">
        <is>
          <t>Upper_Limit</t>
        </is>
      </c>
      <c r="D1" s="5" t="inlineStr">
        <is>
          <t>Units</t>
        </is>
      </c>
      <c r="E1" s="5" t="inlineStr">
        <is>
          <t>Method</t>
        </is>
      </c>
    </row>
    <row r="2">
      <c r="A2" t="inlineStr">
        <is>
          <t>T‑001</t>
        </is>
      </c>
      <c r="D2" t="inlineStr">
        <is>
          <t>Coherence Index (0–1)</t>
        </is>
      </c>
      <c r="E2" t="inlineStr">
        <is>
          <t>Visual/optical capture → coherence metric calc</t>
        </is>
      </c>
    </row>
    <row r="3">
      <c r="A3" t="inlineStr">
        <is>
          <t>T‑002</t>
        </is>
      </c>
      <c r="D3" t="inlineStr">
        <is>
          <t>mm peak-to-peak</t>
        </is>
      </c>
      <c r="E3" t="inlineStr">
        <is>
          <t>Level probe or video tracking → ripple p‑p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MicroHydroV1 – Bench Test Dashboard</t>
        </is>
      </c>
    </row>
    <row r="3">
      <c r="A3" s="5" t="inlineStr">
        <is>
          <t>Status</t>
        </is>
      </c>
      <c r="B3" s="5" t="inlineStr">
        <is>
          <t>Count</t>
        </is>
      </c>
      <c r="D3" s="5" t="inlineStr">
        <is>
          <t>Test_ID</t>
        </is>
      </c>
      <c r="E3" s="5" t="inlineStr">
        <is>
          <t>Entries</t>
        </is>
      </c>
    </row>
    <row r="4">
      <c r="A4" t="inlineStr">
        <is>
          <t>PASS</t>
        </is>
      </c>
      <c r="B4">
        <f>COUNTIF(Tests!$E$2:$E$101,"PASS")</f>
        <v/>
      </c>
      <c r="D4" t="inlineStr">
        <is>
          <t>T‑001</t>
        </is>
      </c>
      <c r="E4">
        <f>COUNTIF(Tests!$A$2:$A$101,"T‑001")</f>
        <v/>
      </c>
    </row>
    <row r="5">
      <c r="A5" t="inlineStr">
        <is>
          <t>FAIL</t>
        </is>
      </c>
      <c r="B5">
        <f>COUNTIF(Tests!$E$2:$E$101,"FAIL")</f>
        <v/>
      </c>
      <c r="D5" t="inlineStr">
        <is>
          <t>T‑002</t>
        </is>
      </c>
      <c r="E5">
        <f>COUNTIF(Tests!$A$2:$A$101,"T‑002")</f>
        <v/>
      </c>
    </row>
    <row r="6">
      <c r="A6" t="inlineStr">
        <is>
          <t>TBD</t>
        </is>
      </c>
      <c r="B6">
        <f>COUNTIF(Tests!$E$2:$E$101,"TBD")</f>
        <v/>
      </c>
    </row>
    <row r="7">
      <c r="A7" s="5" t="inlineStr">
        <is>
          <t>TOTAL</t>
        </is>
      </c>
      <c r="B7" s="5">
        <f>SUM(B4:B6)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2026-01-21T10:57:45Z</dcterms:created>
  <dcterms:modified xmlns:dcterms="http://purl.org/dc/terms/" xmlns:xsi="http://www.w3.org/2001/XMLSchema-instance" xsi:type="dcterms:W3CDTF">2026-01-21T10:58:53Z</dcterms:modified>
</cp:coreProperties>
</file>